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ient Data" sheetId="1" r:id="rId4"/>
    <sheet state="visible" name="Reference" sheetId="2" r:id="rId5"/>
    <sheet state="visible" name="Cohort" sheetId="3" r:id="rId6"/>
    <sheet state="visible" name="Analysis" sheetId="4" r:id="rId7"/>
    <sheet state="visible" name="MK Reference" sheetId="5" r:id="rId8"/>
    <sheet state="visible" name="Interpretation" sheetId="6" r:id="rId9"/>
  </sheets>
  <definedNames/>
  <calcPr/>
  <extLst>
    <ext uri="GoogleSheetsCustomDataVersion2">
      <go:sheetsCustomData xmlns:go="http://customooxmlschemas.google.com/" r:id="rId10" roundtripDataChecksum="A10SMoVSYi3azoYo3pmi3cpLaLaWZRrCG9fGgDQn8t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9">
      <text>
        <t xml:space="preserve">======
ID#AAAB6i7mJCw
tc={402A1AD0-9A9A-4C2F-A60F-61A42E148CAE}    (2026-05-16 18:00:43)
[Threaded comment]
Your version of Excel allows you to read this threaded comment; however, any edits to it will get removed if the file is opened in a newer version of Excel. Learn more: https://go.microsoft.com/fwlink/?linkid=870924
Comment:
    end diastolic pressure</t>
      </text>
    </comment>
    <comment authorId="0" ref="AI140">
      <text>
        <t xml:space="preserve">======
ID#AAAB6i7mJCk
tc={4B9810CA-39D4-4265-8585-CC890BE3A840}    (2026-05-16 18:00:43)
[Threaded comment]
Your version of Excel allows you to read this threaded comment; however, any edits to it will get removed if the file is opened in a newer version of Excel. Learn more: https://go.microsoft.com/fwlink/?linkid=870924
Comment:
    got ECMO on 8/30</t>
      </text>
    </comment>
    <comment authorId="0" ref="BL140">
      <text>
        <t xml:space="preserve">======
ID#AAAB6i7mJCg
tc={606B37F1-1F1E-4DDB-92EC-9D38BB4E7EB0}    (2026-05-16 18:00:43)
[Threaded comment]
Your version of Excel allows you to read this threaded comment; however, any edits to it will get removed if the file is opened in a newer version of Excel. Learn more: https://go.microsoft.com/fwlink/?linkid=870924
Comment:
    got RVAD</t>
      </text>
    </comment>
    <comment authorId="0" ref="W113">
      <text>
        <t xml:space="preserve">======
ID#AAAB6i7mJCc
tc={B0CEA2AD-BD86-4EA4-9A84-0D959A99647D}    (2026-05-16 18:00:43)
[Threaded comment]
Your version of Excel allows you to read this threaded comment; however, any edits to it will get removed if the file is opened in a newer version of Excel. Learn more: https://go.microsoft.com/fwlink/?linkid=870924
Comment:
    from 1 week post impella, no values until earlier</t>
      </text>
    </comment>
    <comment authorId="0" ref="AO140">
      <text>
        <t xml:space="preserve">======
ID#AAAB6i7mJCY
tc={85511C5D-B924-4048-8EA7-74A695FBECD9}    (2026-05-16 18:00:43)
[Threaded comment]
Your version of Excel allows you to read this threaded comment; however, any edits to it will get removed if the file is opened in a newer version of Excel. Learn more: https://go.microsoft.com/fwlink/?linkid=870924
Comment:
    did get va ecmo but that was after heart transplant</t>
      </text>
    </comment>
    <comment authorId="0" ref="Q19">
      <text>
        <t xml:space="preserve">======
ID#AAAB6i7mJCM
tc={CAC6866E-A322-439A-B54B-6307D1AD9503}    (2026-05-16 18:00:43)
[Threaded comment]
Your version of Excel allows you to read this threaded comment; however, any edits to it will get removed if the file is opened in a newer version of Excel. Learn more: https://go.microsoft.com/fwlink/?linkid=870924
Comment:
    RV end diastolic, not RVDP
Reply:
    As above</t>
      </text>
    </comment>
    <comment authorId="0" ref="B126">
      <text>
        <t xml:space="preserve">======
ID#AAAB6i7mJCA
tc={8D321289-29B7-4471-A5CB-9BAFAA40A691}    (2026-05-16 18:00:43)
[Threaded comment]
Your version of Excel allows you to read this threaded comment; however, any edits to it will get removed if the file is opened in a newer version of Excel. Learn more: https://go.microsoft.com/fwlink/?linkid=870924
Comment:
    did receive chlorothiazide 1000 mg IV
Reply:
    That would be diuretic augmentation wiht a thiazide, label as 1</t>
      </text>
    </comment>
    <comment authorId="0" ref="N113">
      <text>
        <t xml:space="preserve">======
ID#AAAB6i7mJBs
tc={97DCFA79-976E-4223-87E4-F69FCFFCCF65}    (2026-05-16 18:00:43)
[Threaded comment]
Your version of Excel allows you to read this threaded comment; however, any edits to it will get removed if the file is opened in a newer version of Excel. Learn more: https://go.microsoft.com/fwlink/?linkid=870924
Comment:
    average of arterial blood gas pH taken at different hrs 48 post impella</t>
      </text>
    </comment>
    <comment authorId="0" ref="T85">
      <text>
        <t xml:space="preserve">======
ID#AAAB6i7mJBo
tc={3F7E2391-9E15-480F-821A-D6F57574A768}    (2026-05-16 18:00:43)
[Threaded comment]
Your version of Excel allows you to read this threaded comment; however, any edits to it will get removed if the file is opened in a newer version of Excel. Learn more: https://go.microsoft.com/fwlink/?linkid=870924
Comment:
    septal flattening in systole and diastole c/w RV pressure and volume overload</t>
      </text>
    </comment>
    <comment authorId="0" ref="X12">
      <text>
        <t xml:space="preserve">======
ID#AAAB6i7mJBk
tc={0A33B2EE-2C44-4E25-8988-D7E8393B71B5}    (2026-05-16 18:00:43)
[Threaded comment]
Your version of Excel allows you to read this threaded comment; however, any edits to it will get removed if the file is opened in a newer version of Excel. Learn more: https://go.microsoft.com/fwlink/?linkid=870924
Comment:
    mixed CM due to peri-partum cardiomyopathy and LAD infarct
pt also has severe MR + severe TR...unsure if this is valvular or cardiomyopathy then</t>
      </text>
    </comment>
    <comment authorId="0" ref="P19">
      <text>
        <t xml:space="preserve">======
ID#AAAB6i7mJBY
Medha Majety    (2026-05-16 18:00:43)
RV end diastolic pressure, not RVDP</t>
      </text>
    </comment>
    <comment authorId="0" ref="BE138">
      <text>
        <t xml:space="preserve">======
ID#AAAB6i7mJBQ
tc={48DB7F9E-32C0-4348-B254-D47119DD9367}    (2026-05-16 18:00:43)
[Threaded comment]
Your version of Excel allows you to read this threaded comment; however, any edits to it will get removed if the file is opened in a newer version of Excel. Learn more: https://go.microsoft.com/fwlink/?linkid=870924
Comment:
    ESRD on HD, and also got kidney transplant</t>
      </text>
    </comment>
    <comment authorId="0" ref="AI86">
      <text>
        <t xml:space="preserve">======
ID#AAAB6i7mJBI
tc={2FB76C58-8F5A-4DC6-9A9C-CE00592FC0A5}    (2026-05-16 18:00:43)
[Threaded comment]
Your version of Excel allows you to read this threaded comment; however, any edits to it will get removed if the file is opened in a newer version of Excel. Learn more: https://go.microsoft.com/fwlink/?linkid=870924
Comment:
    lipomatous hypertrophy of the interatrial septum</t>
      </text>
    </comment>
    <comment authorId="0" ref="P120">
      <text>
        <t xml:space="preserve">======
ID#AAAB6i7mJBE
tc={ACEF087C-7528-4300-85BF-6736EDA84905}    (2026-05-16 18:00:43)
[Threaded comment]
Your version of Excel allows you to read this threaded comment; however, any edits to it will get removed if the file is opened in a newer version of Excel. Learn more: https://go.microsoft.com/fwlink/?linkid=870924
Comment:
    unsure what to put for this one bc when I hover over this section it lists 
0 mcg
0.02 mcg
0.04 mcg
0.03 mcg
Reply:
    Make sure you're looking a few hours prior to the person goign the operating room, they change pressors intra-operatively a lot. We want the steady state dose they were on before. If this is in the CCU and they quickly weaned it off, then I'd split the difference and use 0.02</t>
      </text>
    </comment>
    <comment authorId="0" ref="L98">
      <text>
        <t xml:space="preserve">======
ID#AAAB6i7mJBA
tc={FC18589C-2A7D-4C16-BA9F-81EE97AD72EB}    (2026-05-16 18:00:43)
[Threaded comment]
Your version of Excel allows you to read this threaded comment; however, any edits to it will get removed if the file is opened in a newer version of Excel. Learn more: https://go.microsoft.com/fwlink/?linkid=870924
Comment:
    no lactate on date of index RHC, but got it from 2 days pre index RHC</t>
      </text>
    </comment>
    <comment authorId="0" ref="E113">
      <text>
        <t xml:space="preserve">======
ID#AAAB6i7mJA4
tc={D33DF960-0E67-41B8-B59E-F567D10C3E14}    (2026-05-16 18:00:43)
[Threaded comment]
Your version of Excel allows you to read this threaded comment; however, any edits to it will get removed if the file is opened in a newer version of Excel. Learn more: https://go.microsoft.com/fwlink/?linkid=870924
Comment:
    this is from ABG results on 4/8,  date of impella 
I couldn't find any pH values later than 4/8</t>
      </text>
    </comment>
    <comment authorId="0" ref="AQ85">
      <text>
        <t xml:space="preserve">======
ID#AAAB6i7mJA0
tc={1FD0F4E5-9E45-4577-B4A4-C55EDF8FBA40}    (2026-05-16 18:00:43)
[Threaded comment]
Your version of Excel allows you to read this threaded comment; however, any edits to it will get removed if the file is opened in a newer version of Excel. Learn more: https://go.microsoft.com/fwlink/?linkid=870924
Comment:
    septal flattening in diastole c/w RV volume overload</t>
      </text>
    </comment>
    <comment authorId="0" ref="E138">
      <text>
        <t xml:space="preserve">======
ID#AAAB6i7mJAo
tc={0F994A49-3E60-4CB6-A39A-C5DC2D6B00D3}    (2026-05-16 18:00:43)
[Threaded comment]
Your version of Excel allows you to read this threaded comment; however, any edits to it will get removed if the file is opened in a newer version of Excel. Learn more: https://go.microsoft.com/fwlink/?linkid=870924
Comment:
    high levels of Cr, CKD stage 5, but no dialysis b/c considering combined heart + kidney transplant
Reply:
    Similar to previous situation</t>
      </text>
    </comment>
    <comment authorId="0" ref="T74">
      <text>
        <t xml:space="preserve">======
ID#AAAB6i7mJAg
tc={52DB8DDA-7ECF-498A-A0A6-B522A701E8CC}    (2026-05-16 18:00:43)
[Threaded comment]
Your version of Excel allows you to read this threaded comment; however, any edits to it will get removed if the file is opened in a newer version of Excel. Learn more: https://go.microsoft.com/fwlink/?linkid=870924
Comment:
    septal flattening in diastole c/w RV volume overload
abnonrmal anteroseptal and apical motion c/w conduction abnormality, inferoseptal and inferior walls are akinetic
severe hypokinesis of anteroseptal, anterior, and apical lateral walls and apical cap</t>
      </text>
    </comment>
    <comment authorId="0" ref="U85">
      <text>
        <t xml:space="preserve">======
ID#AAAB6i7mJAc
tc={BC47979D-0BBC-4B0C-BEC1-564334BD570C}    (2026-05-16 18:00:43)
[Threaded comment]
Your version of Excel allows you to read this threaded comment; however, any edits to it will get removed if the file is opened in a newer version of Excel. Learn more: https://go.microsoft.com/fwlink/?linkid=870924
Comment:
    septum appears akinetic</t>
      </text>
    </comment>
    <comment authorId="0" ref="BB138">
      <text>
        <t xml:space="preserve">======
ID#AAAB6i7mJAU
tc={2367C2E1-BAF3-4E9E-96E4-0AB9416A3365}    (2026-05-16 18:00:43)
[Threaded comment]
Your version of Excel allows you to read this threaded comment; however, any edits to it will get removed if the file is opened in a newer version of Excel. Learn more: https://go.microsoft.com/fwlink/?linkid=870924
Comment:
    severe lactic acidosis maybe bc of tissue damage/ischemia</t>
      </text>
    </comment>
    <comment authorId="0" ref="B125">
      <text>
        <t xml:space="preserve">======
ID#AAAB6i7mJAQ
tc={5E90DC37-04E4-4A26-B650-03D9CF5CDC40}    (2026-05-16 18:00:43)
[Threaded comment]
Your version of Excel allows you to read this threaded comment; however, any edits to it will get removed if the file is opened in a newer version of Excel. Learn more: https://go.microsoft.com/fwlink/?linkid=870924
Comment:
    diuresis flowsheet mentions that pt was given 30 mg/hr for the entire day prior to impella. The 30 mg/hr dose was given from bw 8-12, unsure if they were given another dose
Reply:
    I would sum the totatilty of lasix given so would do 30*24</t>
      </text>
    </comment>
    <comment authorId="0" ref="W74">
      <text>
        <t xml:space="preserve">======
ID#AAAB6i7mJAE
tc={B46F5F03-376C-43E7-BBFF-284D86DD9D27}    (2026-05-16 18:00:43)
[Threaded comment]
Your version of Excel allows you to read this threaded comment; however, any edits to it will get removed if the file is opened in a newer version of Excel. Learn more: https://go.microsoft.com/fwlink/?linkid=870924
Comment:
    anteroseptal, inferoseptal, inferior walls are akinetic</t>
      </text>
    </comment>
    <comment authorId="0" ref="Y112">
      <text>
        <t xml:space="preserve">======
ID#AAAB6i7mJAA
tc={3AEE28FC-05CC-44A3-8889-74CA05A2186A}    (2026-05-16 18:00:43)
[Threaded comment]
Your version of Excel allows you to read this threaded comment; however, any edits to it will get removed if the file is opened in a newer version of Excel. Learn more: https://go.microsoft.com/fwlink/?linkid=870924
Comment:
    grabbed 6 days post impella</t>
      </text>
    </comment>
    <comment authorId="0" ref="T139">
      <text>
        <t xml:space="preserve">======
ID#AAAB6i7mI_0
tc={478B2AD9-707F-482E-B87F-5A87574F4771}    (2026-05-16 18:00:43)
[Threaded comment]
Your version of Excel allows you to read this threaded comment; however, any edits to it will get removed if the file is opened in a newer version of Excel. Learn more: https://go.microsoft.com/fwlink/?linkid=870924
Comment:
    was intubated after impella removal &amp; heart transplant</t>
      </text>
    </comment>
    <comment authorId="0" ref="AJ138">
      <text>
        <t xml:space="preserve">======
ID#AAAB6i7mI_o
tc={16E1E8B7-5415-42BF-ACE3-45EF7D147FC1}    (2026-05-16 18:00:43)
[Threaded comment]
Your version of Excel allows you to read this threaded comment; however, any edits to it will get removed if the file is opened in a newer version of Excel. Learn more: https://go.microsoft.com/fwlink/?linkid=870924
Comment:
    has lactic acidosis maybe due to sepsis b/c of low pH and high WBC</t>
      </text>
    </comment>
    <comment authorId="0" ref="Q138">
      <text>
        <t xml:space="preserve">======
ID#AAAB6i7mI_k
tc={26CC2DAD-D678-435A-8DF0-88B2B1E671C7}    (2026-05-16 18:00:43)
[Threaded comment]
Your version of Excel allows you to read this threaded comment; however, any edits to it will get removed if the file is opened in a newer version of Excel. Learn more: https://go.microsoft.com/fwlink/?linkid=870924
Comment:
    implant on 1/5, impella removal+heart transplant on 1/9, pt developed AKI that required CVVHD s/p transplant</t>
      </text>
    </comment>
    <comment authorId="0" ref="B29">
      <text>
        <t xml:space="preserve">======
ID#AAAB6i7mI_g
tc={B4669EDF-A16D-468E-A220-422458BAC0B4}    (2026-05-16 18:00:43)
[Threaded comment]
Your version of Excel allows you to read this threaded comment; however, any edits to it will get removed if the file is opened in a newer version of Excel. Learn more: https://go.microsoft.com/fwlink/?linkid=870924
Comment:
    I had to grab this from the flowsheet on 2/25 (same day as index RHC), since it wasn't mentioned in the report</t>
      </text>
    </comment>
    <comment authorId="0" ref="V80">
      <text>
        <t xml:space="preserve">======
ID#AAAB6i7mI_c
tc={C591F828-9CAC-4CB3-AD8F-6D635AA0F8CA}    (2026-05-16 18:00:43)
[Threaded comment]
Your version of Excel allows you to read this threaded comment; however, any edits to it will get removed if the file is opened in a newer version of Excel. Learn more: https://go.microsoft.com/fwlink/?linkid=870924
Comment:
    tissue Dopples S' velocity</t>
      </text>
    </comment>
    <comment authorId="0" ref="BL141">
      <text>
        <t xml:space="preserve">======
ID#AAAB6i7mI_U
tc={D2704DE8-46F8-484E-8D6C-1A3CF6BE3660}    (2026-05-16 18:00:43)
[Threaded comment]
Your version of Excel allows you to read this threaded comment; however, any edits to it will get removed if the file is opened in a newer version of Excel. Learn more: https://go.microsoft.com/fwlink/?linkid=870924
Comment:
    eventually got heart transplant on 4/30/26</t>
      </text>
    </comment>
    <comment authorId="0" ref="AN74">
      <text>
        <t xml:space="preserve">======
ID#AAAB6i7mI_Q
tc={39B292C6-6809-4C17-9F03-01244164CFFF}    (2026-05-16 18:00:43)
[Threaded comment]
Your version of Excel allows you to read this threaded comment; however, any edits to it will get removed if the file is opened in a newer version of Excel. Learn more: https://go.microsoft.com/fwlink/?linkid=870924
Comment:
    septal flattening in systole and diastole c/w RV pressure and volume overload</t>
      </text>
    </comment>
    <comment authorId="0" ref="C130">
      <text>
        <t xml:space="preserve">======
ID#AAAB6i7mI_M
tc={3DBFAC96-E69F-4CC4-955E-51776263A98C}    (2026-05-16 18:00:43)
[Threaded comment]
Your version of Excel allows you to read this threaded comment; however, any edits to it will get removed if the file is opened in a newer version of Excel. Learn more: https://go.microsoft.com/fwlink/?linkid=870924
Comment:
    500 mg chlorothiazide</t>
      </text>
    </comment>
    <comment authorId="0" ref="D6">
      <text>
        <t xml:space="preserve">======
ID#AAAB6i7mI_A
tc={647FCE04-9AE7-4480-935E-05D3B8971AE2}    (2026-05-16 18:00:43)
[Threaded comment]
Your version of Excel allows you to read this threaded comment; however, any edits to it will get removed if the file is opened in a newer version of Excel. Learn more: https://go.microsoft.com/fwlink/?linkid=870924
Comment:
    pt had a IABP placed 11 days after the impella</t>
      </text>
    </comment>
    <comment authorId="0" ref="L130">
      <text>
        <t xml:space="preserve">======
ID#AAAB6i7mI-4
tc={462624E0-90FD-438B-BFFF-414A6D234C0F}    (2026-05-16 18:00:43)
[Threaded comment]
Your version of Excel allows you to read this threaded comment; however, any edits to it will get removed if the file is opened in a newer version of Excel. Learn more: https://go.microsoft.com/fwlink/?linkid=870924
Comment:
    patient received 500 mg of chlorothiazide IV ...does this count even tho it's technically not "chlorothalidone"
Reply:
    ya any thiazide/hypertonic saline/acetazolamide counts as augmentation</t>
      </text>
    </comment>
    <comment authorId="0" ref="AA12">
      <text>
        <t xml:space="preserve">======
ID#AAAB6i7mI-0
tc={DF6A2FB5-9C3B-4143-8F19-034F8F9C9D79}    (2026-05-16 18:00:43)
[Threaded comment]
Your version of Excel allows you to read this threaded comment; however, any edits to it will get removed if the file is opened in a newer version of Excel. Learn more: https://go.microsoft.com/fwlink/?linkid=870924
Comment:
    also has VT and AVNRT s/p multiple ablations</t>
      </text>
    </comment>
    <comment authorId="0" ref="X19">
      <text>
        <t xml:space="preserve">======
ID#AAAB6i7mI-s
tc={FC2B8A84-9323-4D6B-BAA5-6996D43EF851}    (2026-05-16 18:00:43)
[Threaded comment]
Your version of Excel allows you to read this threaded comment; however, any edits to it will get removed if the file is opened in a newer version of Excel. Learn more: https://go.microsoft.com/fwlink/?linkid=870924
Comment:
    end diastolic pressure</t>
      </text>
    </comment>
    <comment authorId="0" ref="AZ141">
      <text>
        <t xml:space="preserve">======
ID#AAAB6i7mI-c
tc={9401D117-D9F7-42EE-B0EE-55E4C8D82A0D}    (2026-05-16 18:00:43)
[Threaded comment]
Your version of Excel allows you to read this threaded comment; however, any edits to it will get removed if the file is opened in a newer version of Excel. Learn more: https://go.microsoft.com/fwlink/?linkid=870924
Comment:
    had a PE and RV failure after OHT that required VA ECMO</t>
      </text>
    </comment>
    <comment authorId="0" ref="K141">
      <text>
        <t xml:space="preserve">======
ID#AAAB6i7mI-Q
tc={163315BC-990D-4A4F-A3D0-A5DA2E966B2B}    (2026-05-16 18:00:43)
[Threaded comment]
Your version of Excel allows you to read this threaded comment; however, any edits to it will get removed if the file is opened in a newer version of Excel. Learn more: https://go.microsoft.com/fwlink/?linkid=870924
Comment:
    got an LVAD and then later on got a transplant</t>
      </text>
    </comment>
    <comment authorId="0" ref="N19">
      <text>
        <t xml:space="preserve">======
ID#AAAB6i7mI-M
tc={0081B051-A22A-4ADF-B481-846CD4CF1994}    (2026-05-16 18:00:43)
[Threaded comment]
Your version of Excel allows you to read this threaded comment; however, any edits to it will get removed if the file is opened in a newer version of Excel. Learn more: https://go.microsoft.com/fwlink/?linkid=870924
Comment:
    RV end diastolic pressure
Reply:
    Don't need to differentiate between these two, in the cath lab we're looking for RVEDP but may just write RVDP</t>
      </text>
    </comment>
    <comment authorId="0" ref="R19">
      <text>
        <t xml:space="preserve">======
ID#AAAB6i7mI-I
tc={4D5E440D-226C-4304-974D-60561D71F43F}    (2026-05-16 18:00:43)
[Threaded comment]
Your version of Excel allows you to read this threaded comment; however, any edits to it will get removed if the file is opened in a newer version of Excel. Learn more: https://go.microsoft.com/fwlink/?linkid=870924
Comment:
    end diastolic pressure</t>
      </text>
    </comment>
    <comment authorId="0" ref="O19">
      <text>
        <t xml:space="preserve">======
ID#AAAB6i7mI-E
Medha Majety    (2026-05-16 18:00:43)
RV end diastolic pressure, not RVDP</t>
      </text>
    </comment>
    <comment authorId="0" ref="AJ140">
      <text>
        <t xml:space="preserve">======
ID#AAAB6i7mI98
tc={CB212941-03B5-4FE5-A686-75A421A5C0C4}    (2026-05-16 18:00:43)
[Threaded comment]
Your version of Excel allows you to read this threaded comment; however, any edits to it will get removed if the file is opened in a newer version of Excel. Learn more: https://go.microsoft.com/fwlink/?linkid=870924
Comment:
    technically upgraded from impella CP on 8/16 to impella 5.5 on 8/18</t>
      </text>
    </comment>
    <comment authorId="0" ref="I112">
      <text>
        <t xml:space="preserve">======
ID#AAAB6i7mI94
tc={003B0748-16DC-41D6-9CE2-94C252249BF2}    (2026-05-16 18:00:43)
[Threaded comment]
Your version of Excel allows you to read this threaded comment; however, any edits to it will get removed if the file is opened in a newer version of Excel. Learn more: https://go.microsoft.com/fwlink/?linkid=870924
Comment:
    24 hrs post impella</t>
      </text>
    </comment>
    <comment authorId="0" ref="Y113">
      <text>
        <t xml:space="preserve">======
ID#AAAB6i7mI90
tc={904D247C-9B9A-4B12-BC15-EF22F31C111E}    (2026-05-16 18:00:43)
[Threaded comment]
Your version of Excel allows you to read this threaded comment; however, any edits to it will get removed if the file is opened in a newer version of Excel. Learn more: https://go.microsoft.com/fwlink/?linkid=870924
Comment:
    also grabbed 6 days post impella</t>
      </text>
    </comment>
    <comment authorId="0" ref="AK139">
      <text>
        <t xml:space="preserve">======
ID#AAAB6i7mI9w
tc={AEBA0D6E-CF9E-445A-A5E1-E11055CD26C1}    (2026-05-16 18:00:43)
[Threaded comment]
Your version of Excel allows you to read this threaded comment; however, any edits to it will get removed if the file is opened in a newer version of Excel. Learn more: https://go.microsoft.com/fwlink/?linkid=870924
Comment:
    was intubated on 8/17-8/22 due to hemoptysis from his earlier impella in 7/19</t>
      </text>
    </comment>
    <comment authorId="0" ref="AP74">
      <text>
        <t xml:space="preserve">======
ID#AAAB6i7mI9s
tc={4C792C3C-4286-4F71-812C-F65CE79DF394}    (2026-05-16 18:00:43)
[Threaded comment]
Your version of Excel allows you to read this threaded comment; however, any edits to it will get removed if the file is opened in a newer version of Excel. Learn more: https://go.microsoft.com/fwlink/?linkid=870924
Comment:
    abnormal septal motion c/w conduction abnormality</t>
      </text>
    </comment>
    <comment authorId="0" ref="K85">
      <text>
        <t xml:space="preserve">======
ID#AAAB6i7mI9k
tc={81944748-48A2-48A5-9B77-0D3B8833E995}    (2026-05-16 18:00:43)
[Threaded comment]
Your version of Excel allows you to read this threaded comment; however, any edits to it will get removed if the file is opened in a newer version of Excel. Learn more: https://go.microsoft.com/fwlink/?linkid=870924
Comment:
    abnormal septal motion that is consistent with conduction abnormality</t>
      </text>
    </comment>
    <comment authorId="0" ref="A65">
      <text>
        <t xml:space="preserve">======
ID#AAAB6i7mI9g
tc={3B1EF008-7CC8-4221-817C-52335B086624}    (2026-05-16 18:00:43)
[Threaded comment]
Your version of Excel allows you to read this threaded comment; however, any edits to it will get removed if the file is opened in a newer version of Excel. Learn more: https://go.microsoft.com/fwlink/?linkid=870924
Comment:
    get pre-impella and post-impella EF from ECHO's</t>
      </text>
    </comment>
    <comment authorId="0" ref="V19">
      <text>
        <t xml:space="preserve">======
ID#AAAB6i7mI9c
tc={BAD1078F-B237-4350-BD2B-33F711066946}    (2026-05-16 18:00:43)
[Threaded comment]
Your version of Excel allows you to read this threaded comment; however, any edits to it will get removed if the file is opened in a newer version of Excel. Learn more: https://go.microsoft.com/fwlink/?linkid=870924
Comment:
    end diastolic</t>
      </text>
    </comment>
    <comment authorId="0" ref="M2">
      <text>
        <t xml:space="preserve">======
ID#AAAB6i7mI9U
tc={7690DD86-7FB3-4C85-A480-14139EA5A9BC}    (2026-05-16 18:00:43)
[Threaded comment]
Your version of Excel allows you to read this threaded comment; however, any edits to it will get removed if the file is opened in a newer version of Excel. Learn more: https://go.microsoft.com/fwlink/?linkid=870924
Comment:
    pt had impella, then got ecmo/MCS escalation, is this pt therefore not an "ecpella patient"?
Reply:
    If they had an impella 5.5 and then needed additional support with VA-ECMO, then that would be an appropriate person for the study. The ecpella patients I excluded had both modalities placed simultaneously so we can't evaluate for univentricular support performance</t>
      </text>
    </comment>
    <comment authorId="0" ref="AL75">
      <text>
        <t xml:space="preserve">======
ID#AAAB6i7mI9I
tc={3351DE6B-5B90-49E9-96CA-841DE3521CFB}    (2026-05-16 18:00:43)
[Threaded comment]
Your version of Excel allows you to read this threaded comment; however, any edits to it will get removed if the file is opened in a newer version of Excel. Learn more: https://go.microsoft.com/fwlink/?linkid=870924
Comment:
    bi-atrial dilation</t>
      </text>
    </comment>
    <comment authorId="0" ref="AL141">
      <text>
        <t xml:space="preserve">======
ID#AAAB6i7mI9E
tc={98BACAD3-ED67-4690-8F04-5DE0E77120BE}    (2026-05-16 18:00:43)
[Threaded comment]
Your version of Excel allows you to read this threaded comment; however, any edits to it will get removed if the file is opened in a newer version of Excel. Learn more: https://go.microsoft.com/fwlink/?linkid=870924
Comment:
    eventually got LVAD a month later</t>
      </text>
    </comment>
    <comment authorId="0" ref="E85">
      <text>
        <t xml:space="preserve">======
ID#AAAB6i7mI9A
tc={DB7BDDAB-4078-4085-8AAE-7E4906F3AFA6}    (2026-05-16 18:00:43)
[Threaded comment]
Your version of Excel allows you to read this threaded comment; however, any edits to it will get removed if the file is opened in a newer version of Excel. Learn more: https://go.microsoft.com/fwlink/?linkid=870924
Comment:
    septal flattening in systole c/w RV pressure overload</t>
      </text>
    </comment>
    <comment authorId="0" ref="X13">
      <text>
        <t xml:space="preserve">======
ID#AAAB6i7mI84
tc={5EF5A743-FC88-48C8-A9C3-DCDE4690192F}    (2026-05-16 18:00:43)
[Threaded comment]
Your version of Excel allows you to read this threaded comment; however, any edits to it will get removed if the file is opened in a newer version of Excel. Learn more: https://go.microsoft.com/fwlink/?linkid=870924
Comment:
    technically she was on one drug, dobut, and one device, IABP, at time/immediately prior to impella placement, but her bp day prior to impella was normal</t>
      </text>
    </comment>
    <comment authorId="0" ref="V85">
      <text>
        <t xml:space="preserve">======
ID#AAAB6i7mI80
tc={7494659C-F2EE-4AAC-91E9-295DBB4696A2}    (2026-05-16 18:00:43)
[Threaded comment]
Your version of Excel allows you to read this threaded comment; however, any edits to it will get removed if the file is opened in a newer version of Excel. Learn more: https://go.microsoft.com/fwlink/?linkid=870924
Comment:
    abnormal paradoxical motion</t>
      </text>
    </comment>
    <comment authorId="0" ref="O74">
      <text>
        <t xml:space="preserve">======
ID#AAAB6i7mI8g
tc={7F973E6E-037A-4508-B6D4-590CCC950C68}    (2026-05-16 18:00:43)
[Threaded comment]
Your version of Excel allows you to read this threaded comment; however, any edits to it will get removed if the file is opened in a newer version of Excel. Learn more: https://go.microsoft.com/fwlink/?linkid=870924
Comment:
    abnormal septal motion consistent w/ conduction abnormality + hypokinesis in LV that is worse in septum</t>
      </text>
    </comment>
    <comment authorId="0" ref="R13">
      <text>
        <t xml:space="preserve">======
ID#AAAB6i7mI8c
tc={9B4DCBF6-0C9D-4C1D-8F63-B896F391B812}    (2026-05-16 18:00:43)
[Threaded comment]
Your version of Excel allows you to read this threaded comment; however, any edits to it will get removed if the file is opened in a newer version of Excel. Learn more: https://go.microsoft.com/fwlink/?linkid=870924
Comment:
    I feel like it should be 0 bc he wasn't hypotensive, and his lactate and LFTs were normal at time of impella</t>
      </text>
    </comment>
    <comment authorId="0" ref="B76">
      <text>
        <t xml:space="preserve">======
ID#AAAB6i7mI8U
tc={01E109FB-3EA1-4268-849F-F35F6A59F4B4}    (2026-05-16 18:00:43)
[Threaded comment]
Your version of Excel allows you to read this threaded comment; however, any edits to it will get removed if the file is opened in a newer version of Excel. Learn more: https://go.microsoft.com/fwlink/?linkid=870924
Comment:
    RV EDA 24.6, RV ESA 16.5, RV FAC 33%</t>
      </text>
    </comment>
    <comment authorId="0" ref="U74">
      <text>
        <t xml:space="preserve">======
ID#AAAB6i7mI8Q
tc={C9387B34-8576-4356-87A4-8FD62927EB0D}    (2026-05-16 18:00:43)
[Threaded comment]
Your version of Excel allows you to read this threaded comment; however, any edits to it will get removed if the file is opened in a newer version of Excel. Learn more: https://go.microsoft.com/fwlink/?linkid=870924
Comment:
    discoordinate septal motion</t>
      </text>
    </comment>
    <comment authorId="0" ref="I113">
      <text>
        <t xml:space="preserve">======
ID#AAAB6i7mI8M
tc={12FF8978-AECC-4CA3-BBEE-3AC0C9DA62CF}    (2026-05-16 18:00:43)
[Threaded comment]
Your version of Excel allows you to read this threaded comment; however, any edits to it will get removed if the file is opened in a newer version of Excel. Learn more: https://go.microsoft.com/fwlink/?linkid=870924
Comment:
    mixed venous gases pH 24 hrs post impella</t>
      </text>
    </comment>
    <comment authorId="0" ref="AB84">
      <text>
        <t xml:space="preserve">======
ID#AAAB6i7mI78
tc={60EF7EBE-CC98-4D18-82F1-5EEB6CD158B5}    (2026-05-16 18:00:43)
[Threaded comment]
Your version of Excel allows you to read this threaded comment; however, any edits to it will get removed if the file is opened in a newer version of Excel. Learn more: https://go.microsoft.com/fwlink/?linkid=870924
Comment:
    was noted to be 5.86 cm on echo report from 4/19, a day after impella</t>
      </text>
    </comment>
    <comment authorId="0" ref="U13">
      <text>
        <t xml:space="preserve">======
ID#AAAB6i7mI74
tc={344E7164-95CC-493B-8121-0A89C39DCF8F}    (2026-05-16 18:00:43)
[Threaded comment]
Your version of Excel allows you to read this threaded comment; however, any edits to it will get removed if the file is opened in a newer version of Excel. Learn more: https://go.microsoft.com/fwlink/?linkid=870924
Comment:
    pt was on dobut hrs prior to surgery and had IABP but that was removed prior to impella, so does this mean that this pt had just 1 drug or a total of 2 devices+drugs? either way they were not hypotensive</t>
      </text>
    </comment>
    <comment authorId="0" ref="U19">
      <text>
        <t xml:space="preserve">======
ID#AAAB6i7mI70
tc={E4B06EB0-3F33-48D4-A4DD-ECDA24F34C27}    (2026-05-16 18:00:43)
[Threaded comment]
Your version of Excel allows you to read this threaded comment; however, any edits to it will get removed if the file is opened in a newer version of Excel. Learn more: https://go.microsoft.com/fwlink/?linkid=870924
Comment:
    RV end diastolic</t>
      </text>
    </comment>
    <comment authorId="0" ref="W140">
      <text>
        <t xml:space="preserve">======
ID#AAAB6i7mI7w
tc={E40D1249-A459-49DB-816A-BCAE8F1026FA}    (2026-05-16 18:00:43)
[Threaded comment]
Your version of Excel allows you to read this threaded comment; however, any edits to it will get removed if the file is opened in a newer version of Excel. Learn more: https://go.microsoft.com/fwlink/?linkid=870924
Comment:
    pt had impella placement on 2/22/24, but it was dislodged on 3/1 and on 3/1, the impella was readjusted to the right place and ecmo was also placed then</t>
      </text>
    </comment>
    <comment authorId="0" ref="L40">
      <text>
        <t xml:space="preserve">======
ID#AAAB6i7mI7s
tc={AE73AD36-63EA-46B1-A3B4-5C4AF1E57EB4}    (2026-05-16 18:00:43)
[Threaded comment]
Your version of Excel allows you to read this threaded comment; however, any edits to it will get removed if the file is opened in a newer version of Excel. Learn more: https://go.microsoft.com/fwlink/?linkid=870924
Comment:
    missing hemos 48 hrs post, but these are 72 hrs post impella
Reply:
    We'll have to make some concessions, this is very appropriate</t>
      </text>
    </comment>
    <comment authorId="0" ref="AK138">
      <text>
        <t xml:space="preserve">======
ID#AAAB6i7mI7g
tc={C01BA61B-B8D5-45CE-9F97-DE3AD75A9288}    (2026-05-16 18:00:43)
[Threaded comment]
Your version of Excel allows you to read this threaded comment; however, any edits to it will get removed if the file is opened in a newer version of Excel. Learn more: https://go.microsoft.com/fwlink/?linkid=870924
Comment:
    AKI + CKD Stage 3b, but didn't require dialysis</t>
      </text>
    </comment>
    <comment authorId="0" ref="AA141">
      <text>
        <t xml:space="preserve">======
ID#AAAB6i7mI7c
tc={B873824E-4A46-4113-9EFB-59453C5C780A}    (2026-05-16 18:00:43)
[Threaded comment]
Your version of Excel allows you to read this threaded comment; however, any edits to it will get removed if the file is opened in a newer version of Excel. Learn more: https://go.microsoft.com/fwlink/?linkid=870924
Comment:
    pt s/p heart transplant on 5/28/24 but passed away on 7/19/24</t>
      </text>
    </comment>
    <comment authorId="0" ref="AK85">
      <text>
        <t xml:space="preserve">======
ID#AAAB6i7mI7Q
tc={E45E39DC-201B-44DD-82A8-A93E103340BA}    (2026-05-16 18:00:43)
[Threaded comment]
Your version of Excel allows you to read this threaded comment; however, any edits to it will get removed if the file is opened in a newer version of Excel. Learn more: https://go.microsoft.com/fwlink/?linkid=870924
Comment:
    septal flattening in systole c/w RV pressure overload</t>
      </text>
    </comment>
    <comment authorId="0" ref="AZ140">
      <text>
        <t xml:space="preserve">======
ID#AAAB6i7mI7E
tc={B0452121-0572-4C2E-9240-56FA51A93ADE}    (2026-05-16 18:00:43)
[Threaded comment]
Your version of Excel allows you to read this threaded comment; however, any edits to it will get removed if the file is opened in a newer version of Excel. Learn more: https://go.microsoft.com/fwlink/?linkid=870924
Comment:
    VA-ECMO on 7/9</t>
      </text>
    </comment>
    <comment authorId="0" ref="T72">
      <text>
        <t xml:space="preserve">======
ID#AAAB6i7mI7A
tc={628CB3CE-0B0C-4C9E-9543-824AF34EAC4A}    (2026-05-16 18:00:43)
[Threaded comment]
Your version of Excel allows you to read this threaded comment; however, any edits to it will get removed if the file is opened in a newer version of Excel. Learn more: https://go.microsoft.com/fwlink/?linkid=870924
Comment:
    maybe underestimated due to severity of TR</t>
      </text>
    </comment>
    <comment authorId="0" ref="BB101">
      <text>
        <t xml:space="preserve">======
ID#AAAB6i7mI68
tc={F5BE5F7E-631D-4F39-ACC7-93B745FDF6E8}    (2026-05-16 18:00:43)
[Threaded comment]
Your version of Excel allows you to read this threaded comment; however, any edits to it will get removed if the file is opened in a newer version of Excel. Learn more: https://go.microsoft.com/fwlink/?linkid=870924
Comment:
    didn't have any lab results 48 hrs after impella, so grabbed 24 hrs after impella</t>
      </text>
    </comment>
    <comment authorId="0" ref="AY141">
      <text>
        <t xml:space="preserve">======
ID#AAAB6i7mI64
tc={CF4DD192-5363-4E88-B15E-8E894AB9FDB7}    (2026-05-16 18:00:43)
[Threaded comment]
Your version of Excel allows you to read this threaded comment; however, any edits to it will get removed if the file is opened in a newer version of Excel. Learn more: https://go.microsoft.com/fwlink/?linkid=870924
Comment:
    later on passed away, requiring dual impella and ecmo support s/p OHT</t>
      </text>
    </comment>
    <comment authorId="0" ref="C140">
      <text>
        <t xml:space="preserve">======
ID#AAAB6i7mI60
tc={846B92B7-C1DC-4FEA-993B-636297F24973}    (2026-05-16 18:00:43)
[Threaded comment]
Your version of Excel allows you to read this threaded comment; however, any edits to it will get removed if the file is opened in a newer version of Excel. Learn more: https://go.microsoft.com/fwlink/?linkid=870924
Comment:
    ECMO on 5/27 due to elevated filling pressures on impella + RV filure</t>
      </text>
    </comment>
    <comment authorId="0" ref="P138">
      <text>
        <t xml:space="preserve">======
ID#AAAB6i7mI6w
tc={D04C7D2F-0E90-46CC-A4B4-787036334FD2}    (2026-05-16 18:00:43)
[Threaded comment]
Your version of Excel allows you to read this threaded comment; however, any edits to it will get removed if the file is opened in a newer version of Excel. Learn more: https://go.microsoft.com/fwlink/?linkid=870924
Comment:
    pt had dialysis due to renal failure but that was after his LVAD placement
Reply:
    I guess if they didn't develop it with univentricular support pre-procedurally, most likely consequence of the surgery. Agree with not listing</t>
      </text>
    </comment>
    <comment authorId="0" ref="D12">
      <text>
        <t xml:space="preserve">======
ID#AAAB6i7mI6s
tc={38AF1FCE-1A33-48DE-95F0-017BCAE2FF92}    (2026-05-16 18:00:43)
[Threaded comment]
Your version of Excel allows you to read this threaded comment; however, any edits to it will get removed if the file is opened in a newer version of Excel. Learn more: https://go.microsoft.com/fwlink/?linkid=870924
Comment:
    unsure if this should be 2 or 1, b/c patient has premature CAD (maybe due to familial hypercholesteremia) and was found to have a STEMI in 12/12/21 and after his PCI, his EF was severely reduced and was considered as ischemic cardiomyopathy, so it could be cardiomyopathy or due to a STEMI
Reply:
    If the STEMI didn't lead directly to cardiogenic shock, should be categorized as cardiomyopathy shock</t>
      </text>
    </comment>
    <comment authorId="0" ref="Q98">
      <text>
        <t xml:space="preserve">======
ID#AAAB6i7mI6g
tc={3CB30E5F-669D-4E44-B515-5219755BE24B}    (2026-05-16 18:00:43)
[Threaded comment]
Your version of Excel allows you to read this threaded comment; however, any edits to it will get removed if the file is opened in a newer version of Excel. Learn more: https://go.microsoft.com/fwlink/?linkid=870924
Comment:
    no lactate measurements on date of RHC, but grabbed lactate from one day post RHC
Reply:
    ya I just take the closest one, it's not perfect</t>
      </text>
    </comment>
    <comment authorId="0" ref="B138">
      <text>
        <t xml:space="preserve">======
ID#AAAB6i7mI6Y
tc={8F3D41C7-14BA-4B62-8B1F-2FDDC393007E}    (2026-05-16 18:00:43)
[Threaded comment]
Your version of Excel allows you to read this threaded comment; however, any edits to it will get removed if the file is opened in a newer version of Excel. Learn more: https://go.microsoft.com/fwlink/?linkid=870924
Comment:
    did have renal failure w/ high Cr levels, but was listed for kidney transplant during impella course
Reply:
    Were they already ESRD prior to hospitalization or did they develop renal failure as an inpatient necessitating renal transplant? If the latter would mark 1</t>
      </text>
    </comment>
    <comment authorId="0" ref="AZ85">
      <text>
        <t xml:space="preserve">======
ID#AAAB6i7mI6U
tc={935B74D7-E3F8-4FCA-A8FF-88D92915E948}    (2026-05-16 18:00:43)
[Threaded comment]
Your version of Excel allows you to read this threaded comment; however, any edits to it will get removed if the file is opened in a newer version of Excel. Learn more: https://go.microsoft.com/fwlink/?linkid=870924
Comment:
    global hypokinesis with thinning and akinesis of the septum</t>
      </text>
    </comment>
    <comment authorId="0" ref="V74">
      <text>
        <t xml:space="preserve">======
ID#AAAB6i7mI6Q
tc={BDE9ACF4-EAE5-47B7-B66D-4244DFC7A913}    (2026-05-16 18:00:43)
[Threaded comment]
Your version of Excel allows you to read this threaded comment; however, any edits to it will get removed if the file is opened in a newer version of Excel. Learn more: https://go.microsoft.com/fwlink/?linkid=870924
Comment:
    abnormal septal motion c/w post op state freedom from pericardial restraint</t>
      </text>
    </comment>
    <comment authorId="0" ref="K74">
      <text>
        <t xml:space="preserve">======
ID#AAAB6i7mI6M
tc={D202572A-59DD-4035-AA71-CD4E87B0E89D}    (2026-05-16 18:00:43)
[Threaded comment]
Your version of Excel allows you to read this threaded comment; however, any edits to it will get removed if the file is opened in a newer version of Excel. Learn more: https://go.microsoft.com/fwlink/?linkid=870924
Comment:
    abnormal septal motion due to conduction abnormality but no flattening</t>
      </text>
    </comment>
    <comment authorId="0" ref="D16">
      <text>
        <t xml:space="preserve">======
ID#AAAB6i7mI6E
tc={8E164E32-9BB8-440D-90B1-424A5BD3B409}    (2026-05-16 18:00:43)
[Threaded comment]
Your version of Excel allows you to read this threaded comment; however, any edits to it will get removed if the file is opened in a newer version of Excel. Learn more: https://go.microsoft.com/fwlink/?linkid=870924
Comment:
    pt's most recent RHC before impella is on 3/8/22, which is nearly a month before his impella placement on 4/4/22 and I believe this past the 7 day RHC window
Reply:
    Agree</t>
      </text>
    </comment>
    <comment authorId="0" ref="X140">
      <text>
        <t xml:space="preserve">======
ID#AAAB6i7mI6A
tc={DDA39D55-7D61-4AB6-BF90-F3F6048335A4}    (2026-05-16 18:00:43)
[Threaded comment]
Your version of Excel allows you to read this threaded comment; however, any edits to it will get removed if the file is opened in a newer version of Excel. Learn more: https://go.microsoft.com/fwlink/?linkid=870924
Comment:
    pt got heart transplant on 3/24 (~ month post impella) and then needed ECMO + impella support post transplant</t>
      </text>
    </comment>
    <comment authorId="0" ref="AK31">
      <text>
        <t xml:space="preserve">======
ID#AAAB6i7mI5s
tc={0C2BE6F9-D2D9-48CF-A113-C00845960BD9}    (2026-05-16 18:00:43)
[Threaded comment]
Your version of Excel allows you to read this threaded comment; however, any edits to it will get removed if the file is opened in a newer version of Excel. Learn more: https://go.microsoft.com/fwlink/?linkid=870924
Comment:
    Right PA saturation</t>
      </text>
    </comment>
    <comment authorId="0" ref="AX85">
      <text>
        <t xml:space="preserve">======
ID#AAAB6i7mI5k
tc={5DA2ECEF-8E95-477D-9029-9D8BE0B8C6B1}    (2026-05-16 18:00:43)
[Threaded comment]
Your version of Excel allows you to read this threaded comment; however, any edits to it will get removed if the file is opened in a newer version of Excel. Learn more: https://go.microsoft.com/fwlink/?linkid=870924
Comment:
    septal flattening in diastole c/w RV volume overload</t>
      </text>
    </comment>
    <comment authorId="0" ref="T83">
      <text>
        <t xml:space="preserve">======
ID#AAAB6i7mI5g
tc={15B64B4D-10C9-486C-B603-94A6FF20991A}    (2026-05-16 18:00:43)
[Threaded comment]
Your version of Excel allows you to read this threaded comment; however, any edits to it will get removed if the file is opened in a newer version of Excel. Learn more: https://go.microsoft.com/fwlink/?linkid=870924
Comment:
    severe pulm htn noted</t>
      </text>
    </comment>
    <comment authorId="0" ref="O130">
      <text>
        <t xml:space="preserve">======
ID#AAAB6i7mI5c
tc={DA5ACABC-CCE5-42CB-83F2-10F7D6CB8B05}    (2026-05-16 18:00:43)
[Threaded comment]
Your version of Excel allows you to read this threaded comment; however, any edits to it will get removed if the file is opened in a newer version of Excel. Learn more: https://go.microsoft.com/fwlink/?linkid=870924
Comment:
    chlorothiazide 500 mg IV</t>
      </text>
    </comment>
    <comment authorId="0" ref="K40">
      <text>
        <t xml:space="preserve">======
ID#AAAB6i7mI5U
tc={927AD954-1B14-4087-8214-5ECB9C88F8C8}    (2026-05-16 18:00:43)
[Threaded comment]
Your version of Excel allows you to read this threaded comment; however, any edits to it will get removed if the file is opened in a newer version of Excel. Learn more: https://go.microsoft.com/fwlink/?linkid=870924
Comment:
    I don't think this patient ever had a Swan placed, bc when I went to the flowsheet there are no hemos at all. There is a RHC performed 2 wks after impella placement. Should I use enter those values in this section?
Reply:
    Ya you're right, guess we'll just have to leave it blank. Fascinating they didn't leave it in</t>
      </text>
    </comment>
    <comment authorId="0" ref="N2">
      <text>
        <t xml:space="preserve">======
ID#AAAB6i7mI5M
tc={86C7E615-5ABA-4E81-853E-779B10C93D4E}    (2026-05-16 18:00:43)
[Threaded comment]
Your version of Excel allows you to read this threaded comment; however, any edits to it will get removed if the file is opened in a newer version of Excel. Learn more: https://go.microsoft.com/fwlink/?linkid=870924
Comment:
    unsure if this is an "ecpella" pt since they technically got an ecmo 2 days before the impella
Reply:
    ya this person got an impella for LV venting which is a very different clinical scenario than what we're looking for so wouldn't include her. If you have patients you're unsure about, ask me and skip them</t>
      </text>
    </comment>
    <comment authorId="0" ref="T19">
      <text>
        <t xml:space="preserve">======
ID#AAAB6i7mI5E
tc={1F977D5F-C7F0-4E19-9DF1-9F01F0B39D0A}    (2026-05-16 18:00:43)
[Threaded comment]
Your version of Excel allows you to read this threaded comment; however, any edits to it will get removed if the file is opened in a newer version of Excel. Learn more: https://go.microsoft.com/fwlink/?linkid=870924
Comment:
    end diastolic pressure</t>
      </text>
    </comment>
    <comment authorId="0" ref="AA140">
      <text>
        <t xml:space="preserve">======
ID#AAAB6i7mI5A
tc={B44FFF9A-11A6-4503-802D-84024BC0EF10}    (2026-05-16 18:00:43)
[Threaded comment]
Your version of Excel allows you to read this threaded comment; however, any edits to it will get removed if the file is opened in a newer version of Excel. Learn more: https://go.microsoft.com/fwlink/?linkid=870924
Comment:
    received VA ECMO on 5/21</t>
      </text>
    </comment>
    <comment authorId="0" ref="C99">
      <text>
        <t xml:space="preserve">======
ID#AAAB6i7mI40
tc={11E3EEE8-9131-4080-B347-EC7966D2DBDA}    (2026-05-16 18:00:43)
[Threaded comment]
Your version of Excel allows you to read this threaded comment; however, any edits to it will get removed if the file is opened in a newer version of Excel. Learn more: https://go.microsoft.com/fwlink/?linkid=870924
Comment:
    couldn't get pH on date of RHC, but the earliest pH that was available was the arterial pH from day of impella implant</t>
      </text>
    </comment>
    <comment authorId="0" ref="AL74">
      <text>
        <t xml:space="preserve">======
ID#AAAB6i7mI4w
tc={989A0B3C-D554-46B8-BEE8-C0B68AAF9056}    (2026-05-16 18:00:43)
[Threaded comment]
Your version of Excel allows you to read this threaded comment; however, any edits to it will get removed if the file is opened in a newer version of Excel. Learn more: https://go.microsoft.com/fwlink/?linkid=870924
Comment:
    septal flattening in systole c/w RV pressure overload</t>
      </text>
    </comment>
    <comment authorId="0" ref="O85">
      <text>
        <t xml:space="preserve">======
ID#AAAB6i7mI4s
tc={F357C734-BB65-49A5-AC4B-D35BF9B974FF}    (2026-05-16 18:00:43)
[Threaded comment]
Your version of Excel allows you to read this threaded comment; however, any edits to it will get removed if the file is opened in a newer version of Excel. Learn more: https://go.microsoft.com/fwlink/?linkid=870924
Comment:
    thinner interventricular septum, akinetic, and bowed rightward</t>
      </text>
    </comment>
    <comment authorId="0" ref="BB6">
      <text>
        <t xml:space="preserve">======
ID#AAAB6i7mI4g
tc={90F5430F-0CC9-45CC-8611-7150B6066D26}    (2026-05-16 18:00:43)
[Threaded comment]
Your version of Excel allows you to read this threaded comment; however, any edits to it will get removed if the file is opened in a newer version of Excel. Learn more: https://go.microsoft.com/fwlink/?linkid=870924
Comment:
    had an impella CP placed on 6/16 that was removed and exchanged for  impella 5.5 on 6/19</t>
      </text>
    </comment>
    <comment authorId="0" ref="AV141">
      <text>
        <t xml:space="preserve">======
ID#AAAB6i7mI4c
tc={8878024F-C02F-490D-B05E-01EE2AB15046}    (2026-05-16 18:00:43)
[Threaded comment]
Your version of Excel allows you to read this threaded comment; however, any edits to it will get removed if the file is opened in a newer version of Excel. Learn more: https://go.microsoft.com/fwlink/?linkid=870924
Comment:
    later on passed away</t>
      </text>
    </comment>
    <comment authorId="0" ref="AZ70">
      <text>
        <t xml:space="preserve">======
ID#AAAB6i7mI4U
tc={27252446-D0CC-4166-ACC1-66854803F115}    (2026-05-16 18:00:43)
[Threaded comment]
Your version of Excel allows you to read this threaded comment; however, any edits to it will get removed if the file is opened in a newer version of Excel. Learn more: https://go.microsoft.com/fwlink/?linkid=870924
Comment:
    RV FAC is 20-25%</t>
      </text>
    </comment>
    <comment authorId="0" ref="AJ6">
      <text>
        <t xml:space="preserve">======
ID#AAAB6i7mI4Q
tc={BE558C74-E65B-447C-8C97-3754E9479206}    (2026-05-16 18:00:43)
[Threaded comment]
Your version of Excel allows you to read this threaded comment; however, any edits to it will get removed if the file is opened in a newer version of Excel. Learn more: https://go.microsoft.com/fwlink/?linkid=870924
Comment:
    got impella CP and iABP from 8/14-8/16 but then upgraded to impella 5.5 on 8/16</t>
      </text>
    </comment>
    <comment authorId="0" ref="C74">
      <text>
        <t xml:space="preserve">======
ID#AAAB6i7mI4M
tc={98D3AAC5-3355-4F40-94A0-A4505F9D1FC8}    (2026-05-16 18:00:43)
[Threaded comment]
Your version of Excel allows you to read this threaded comment; however, any edits to it will get removed if the file is opened in a newer version of Excel. Learn more: https://go.microsoft.com/fwlink/?linkid=870924
Comment:
    thin anteroseptal segments
Reply:
    Thin wall segments refer to ischemic myocardium that atrophies over time. This variable is looking at the interventricular septum - with RV pressure overload, the septum gets pushed into the LV and is 'flattened'</t>
      </text>
    </comment>
    <comment authorId="0" ref="P42">
      <text>
        <t xml:space="preserve">======
ID#AAAB6i7mI4A
tc={D87C857C-9BE8-4E3D-B971-6DC742AFDE1A}    (2026-05-16 18:00:43)
[Threaded comment]
Your version of Excel allows you to read this threaded comment; however, any edits to it will get removed if the file is opened in a newer version of Excel. Learn more: https://go.microsoft.com/fwlink/?linkid=870924
Comment:
    RV end diastolic pressure, not RVDP</t>
      </text>
    </comment>
    <comment authorId="0" ref="AA138">
      <text>
        <t xml:space="preserve">======
ID#AAAB6i7mI34
tc={AEC94C9A-5933-4850-87D0-6D8308B47A30}    (2026-05-16 18:00:43)
[Threaded comment]
Your version of Excel allows you to read this threaded comment; however, any edits to it will get removed if the file is opened in a newer version of Excel. Learn more: https://go.microsoft.com/fwlink/?linkid=870924
Comment:
    developed AKI and renal failure after heart transplant</t>
      </text>
    </comment>
    <comment authorId="0" ref="M99">
      <text>
        <t xml:space="preserve">======
ID#AAAB6i7mI30
tc={0B2B5FC6-F4E3-47AC-A7C0-A7A0FA717C4F}    (2026-05-16 18:00:43)
[Threaded comment]
Your version of Excel allows you to read this threaded comment; however, any edits to it will get removed if the file is opened in a newer version of Excel. Learn more: https://go.microsoft.com/fwlink/?linkid=870924
Comment:
    venous gas measurement taken 1 day before RHC</t>
      </text>
    </comment>
    <comment authorId="0" ref="C85">
      <text>
        <t xml:space="preserve">======
ID#AAAB6i7mI3w
tc={87943B0A-7F84-4C67-92DB-180D807C2468}    (2026-05-16 18:00:43)
[Threaded comment]
Your version of Excel allows you to read this threaded comment; however, any edits to it will get removed if the file is opened in a newer version of Excel. Learn more: https://go.microsoft.com/fwlink/?linkid=870924
Comment:
    septal flattening in systole and diastole c/w RV pressure and volume overload</t>
      </text>
    </comment>
    <comment authorId="0" ref="BB139">
      <text>
        <t xml:space="preserve">======
ID#AAAB6i7mI3o
tc={17D63FD3-3FCC-40DD-8A7E-FBC1A874936F}    (2026-05-16 18:00:43)
[Threaded comment]
Your version of Excel allows you to read this threaded comment; however, any edits to it will get removed if the file is opened in a newer version of Excel. Learn more: https://go.microsoft.com/fwlink/?linkid=870924
Comment:
    DNR/DNI</t>
      </text>
    </comment>
    <comment authorId="0" ref="AI138">
      <text>
        <t xml:space="preserve">======
ID#AAAB6i7mI3k
tc={B8E84FEB-6F93-47E4-B014-8560D6155D87}    (2026-05-16 18:00:43)
[Threaded comment]
Your version of Excel allows you to read this threaded comment; however, any edits to it will get removed if the file is opened in a newer version of Excel. Learn more: https://go.microsoft.com/fwlink/?linkid=870924
Comment:
    pt is ESRD so has regular dialysis...but I don't think he needed to have dialysis during his impella course, so left it as 0
Reply:
    ya if someone comes in on iHD this category is a moot point</t>
      </text>
    </comment>
    <comment authorId="0" ref="AW140">
      <text>
        <t xml:space="preserve">======
ID#AAAB6i7mI3I
tc={E7973040-A10D-4385-A83F-4D1F42E02B7B}    (2026-05-16 18:00:43)
[Threaded comment]
Your version of Excel allows you to read this threaded comment; however, any edits to it will get removed if the file is opened in a newer version of Excel. Learn more: https://go.microsoft.com/fwlink/?linkid=870924
Comment:
    ECMO after transplant</t>
      </text>
    </comment>
    <comment authorId="0" ref="AA85">
      <text>
        <t xml:space="preserve">======
ID#AAAB6i7mI3E
tc={55BE1424-4C06-4C6C-9C71-1C2E60807725}    (2026-05-16 18:00:43)
[Threaded comment]
Your version of Excel allows you to read this threaded comment; however, any edits to it will get removed if the file is opened in a newer version of Excel. Learn more: https://go.microsoft.com/fwlink/?linkid=870924
Comment:
    abnormal septal motion c/w conduction abnormality</t>
      </text>
    </comment>
    <comment authorId="0" ref="AJ76">
      <text>
        <t xml:space="preserve">======
ID#AAAB6i7mI20
tc={E2629975-F958-44E3-A106-88FBDBEFCFEF}    (2026-05-16 18:00:43)
[Threaded comment]
Your version of Excel allows you to read this threaded comment; however, any edits to it will get removed if the file is opened in a newer version of Excel. Learn more: https://go.microsoft.com/fwlink/?linkid=870924
Comment:
    hypokinnesis of RV apex and remaining RV free wall is hyperdynamic</t>
      </text>
    </comment>
    <comment authorId="0" ref="W85">
      <text>
        <t xml:space="preserve">======
ID#AAAB6i7mI2s
tc={0A1B15E9-151C-4804-9E29-7D9688BE2E41}    (2026-05-16 18:00:43)
[Threaded comment]
Your version of Excel allows you to read this threaded comment; however, any edits to it will get removed if the file is opened in a newer version of Excel. Learn more: https://go.microsoft.com/fwlink/?linkid=870924
Comment:
    thinned septal wall</t>
      </text>
    </comment>
    <comment authorId="0" ref="R81">
      <text>
        <t xml:space="preserve">======
ID#AAAB6i7mI2g
tc={27E91C14-A4E0-4719-993C-A2BB3B38C331}    (2026-05-16 18:00:43)
[Threaded comment]
Your version of Excel allows you to read this threaded comment; however, any edits to it will get removed if the file is opened in a newer version of Excel. Learn more: https://go.microsoft.com/fwlink/?linkid=870924
Comment:
    normal RV global systolic function, RV fractional area change of 39%</t>
      </text>
    </comment>
    <comment authorId="0" ref="J74">
      <text>
        <t xml:space="preserve">======
ID#AAAB6i7mI2c
tc={98672B89-F729-4982-8A81-236F6553A2FC}    (2026-05-16 18:00:43)
[Threaded comment]
Your version of Excel allows you to read this threaded comment; however, any edits to it will get removed if the file is opened in a newer version of Excel. Learn more: https://go.microsoft.com/fwlink/?linkid=870924
Comment:
    The echo mentions paradoxical septal motion (which I think is when the septum bows towards the RV, instead of towards the LV as expected. But I think this is different from septal flattening, so I put a 0 for this value. Please let me know if I should change it!
Reply:
    Correct, paradoxical motion occurs when there's univentricular pacing or a bundle branch block that results in asynchronous contraction of the septum. That's different from what we're looking for, you're spot on</t>
      </text>
    </comment>
    <comment authorId="0" ref="W138">
      <text>
        <t xml:space="preserve">======
ID#AAAB6i7mI2U
tc={18AF73B6-90B4-456E-A396-C1D7FCFAC871}    (2026-05-16 18:00:43)
[Threaded comment]
Your version of Excel allows you to read this threaded comment; however, any edits to it will get removed if the file is opened in a newer version of Excel. Learn more: https://go.microsoft.com/fwlink/?linkid=870924
Comment:
    pt has hx of CKD and was admitted on 2/9 (pre-impella) for an AKI, but SCUF was started after impella+ECMO placement on 3/1, not during the initial impella placement on 2/22
Reply:
    I'd still mark this is as renal failure as they required a form of dialysis.</t>
      </text>
    </comment>
    <comment authorId="0" ref="AV70">
      <text>
        <t xml:space="preserve">======
ID#AAAB6i7mI2Q
tc={57D9B278-BC62-4FA6-B507-810D9116BB23}    (2026-05-16 18:00:43)
[Threaded comment]
Your version of Excel allows you to read this threaded comment; however, any edits to it will get removed if the file is opened in a newer version of Excel. Learn more: https://go.microsoft.com/fwlink/?linkid=870924
Comment:
    RV FAC 18%</t>
      </text>
    </comment>
    <comment authorId="0" ref="A90">
      <text>
        <t xml:space="preserve">======
ID#AAAB6i7mI2E
tc={D75B70AF-F0F5-49C7-9F4E-0432BC76BE31}    (2026-05-16 18:00:43)
[Threaded comment]
Your version of Excel allows you to read this threaded comment; however, any edits to it will get removed if the file is opened in a newer version of Excel. Learn more: https://go.microsoft.com/fwlink/?linkid=870924
Comment:
    for the bicarb measurements, is it ok to use the CO2 values listed under the chem profile in the results/lab tab? or should we be using the calculated bicarb from the blood gases? i remember you telling me that you get the values from the cmp, but I can't find the CMP section in my epic results tab
Reply:
    Ya would use CMP first but gas is fine if not available. They correlate quite well</t>
      </text>
    </comment>
    <comment authorId="0" ref="BG54">
      <text>
        <t xml:space="preserve">======
ID#AAAB6i7mI2A
tc={059E180D-CBC5-4625-86A8-B6D8DB1FB14D}    (2026-05-16 18:00:43)
[Threaded comment]
Your version of Excel allows you to read this threaded comment; however, any edits to it will get removed if the file is opened in a newer version of Excel. Learn more: https://go.microsoft.com/fwlink/?linkid=870924
Comment:
    unfortunately had no mixed venous O2 sat and had to use venous O2 sat, hope that's ok
Reply:
    Is it a CvO2 from a central line? Or peripheral VBG</t>
      </text>
    </comment>
    <comment authorId="0" ref="AB12">
      <text>
        <t xml:space="preserve">======
ID#AAAB6i7mI18
tc={D654F8A4-2F5A-4A81-AF89-700EBC5982BB}    (2026-05-16 18:00:43)
[Threaded comment]
Your version of Excel allows you to read this threaded comment; however, any edits to it will get removed if the file is opened in a newer version of Excel. Learn more: https://go.microsoft.com/fwlink/?linkid=870924
Comment:
    unsure about this...the H&amp;P mentions pt presentation of indigestion, cath results showing severe occlusion/triple vessel dx and tropnins are high , so I put down AMI but the report never mentions a heart attack</t>
      </text>
    </comment>
    <comment authorId="0" ref="B130">
      <text>
        <t xml:space="preserve">======
ID#AAAB6i7mI1s
tc={9B08B3A3-4472-4C21-A770-42E3AFB98B7D}    (2026-05-16 18:00:43)
[Threaded comment]
Your version of Excel allows you to read this threaded comment; however, any edits to it will get removed if the file is opened in a newer version of Excel. Learn more: https://go.microsoft.com/fwlink/?linkid=870924
Comment:
    1000 mg chlorothiazide</t>
      </text>
    </comment>
    <comment authorId="0" ref="Y12">
      <text>
        <t xml:space="preserve">======
ID#AAAB6i7mI1o
tc={AEBA7041-8E12-4DB6-A189-701D16A5BD5A}    (2026-05-16 18:00:43)
[Threaded comment]
Your version of Excel allows you to read this threaded comment; however, any edits to it will get removed if the file is opened in a newer version of Excel. Learn more: https://go.microsoft.com/fwlink/?linkid=870924
Comment:
    also has severe MR</t>
      </text>
    </comment>
    <comment authorId="0" ref="K113">
      <text>
        <t xml:space="preserve">======
ID#AAAB6i7mI1k
tc={2EF7A19D-B385-4B7B-BF1A-35A912DF6E88}    (2026-05-16 18:00:43)
[Threaded comment]
Your version of Excel allows you to read this threaded comment; however, any edits to it will get removed if the file is opened in a newer version of Excel. Learn more: https://go.microsoft.com/fwlink/?linkid=870924
Comment:
    no pH values in any blood gas measurements for weeks post impella</t>
      </text>
    </comment>
    <comment authorId="0" ref="B85">
      <text>
        <t xml:space="preserve">======
ID#AAAB6i7mI1g
tc={3CAAB959-B8B6-42C9-9071-3F76876A7A79}    (2026-05-16 18:00:43)
[Threaded comment]
Your version of Excel allows you to read this threaded comment; however, any edits to it will get removed if the file is opened in a newer version of Excel. Learn more: https://go.microsoft.com/fwlink/?linkid=870924
Comment:
    septal flattening in systole c/w RV pressure overload</t>
      </text>
    </comment>
    <comment authorId="0" ref="O112">
      <text>
        <t xml:space="preserve">======
ID#AAAB6i7mI1c
Medha Majety    (2026-05-16 18:00:43)
taken 6 days post impella, no other earlier measurements</t>
      </text>
    </comment>
    <comment authorId="0" ref="AB141">
      <text>
        <t xml:space="preserve">======
ID#AAAB6i7mI1U
tc={93EAD97B-88C3-448D-BCF9-1493598FF5B7}    (2026-05-16 18:00:43)
[Threaded comment]
Your version of Excel allows you to read this threaded comment; however, any edits to it will get removed if the file is opened in a newer version of Excel. Learn more: https://go.microsoft.com/fwlink/?linkid=870924
Comment:
    impella removal on 4/26 with plan to transition to hospice care
Reply:
    dobut turned off on 4/23</t>
      </text>
    </comment>
    <comment authorId="0" ref="T140">
      <text>
        <t xml:space="preserve">======
ID#AAAB6i7mI1Q
tc={913CD347-1B44-4478-86C8-BE265873ACFF}    (2026-05-16 18:00:43)
[Threaded comment]
Your version of Excel allows you to read this threaded comment; however, any edits to it will get removed if the file is opened in a newer version of Excel. Learn more: https://go.microsoft.com/fwlink/?linkid=870924
Comment:
    pt got heart transplant on 2/19/24 -&gt; then got VA-ECMO and developed AKI needed hemodialysis, but this was not due to impella</t>
      </text>
    </comment>
    <comment authorId="0" ref="U12">
      <text>
        <t xml:space="preserve">======
ID#AAAB6i7mI1M
tc={DADBC258-6B71-4C7D-AAA0-74A1679DC222}    (2026-05-16 18:00:43)
[Threaded comment]
Your version of Excel allows you to read this threaded comment; however, any edits to it will get removed if the file is opened in a newer version of Excel. Learn more: https://go.microsoft.com/fwlink/?linkid=870924
Comment:
    also has a history of cardiogenic shock in 2022 due to thyroid storm (runs of SVT and afib), had renal failure during this time and required HD, hx of STEMI potentially from SCAD, LV thrombus, MCA stroke + subdural hematoma</t>
      </text>
    </comment>
    <comment authorId="0" ref="A132">
      <text>
        <t xml:space="preserve">======
ID#AAAB6i7mI00
tc={A7211B5C-CD6B-4BEF-8652-5A35F4FEA25F}    (2026-05-16 18:00:43)
[Threaded comment]
Your version of Excel allows you to read this threaded comment; however, any edits to it will get removed if the file is opened in a newer version of Excel. Learn more: https://go.microsoft.com/fwlink/?linkid=870924
Comment:
    in general, what day should we look at for the impella performance level + flow? some pts are started at a lower level on day of impella placement but then their impella level inc later on, so I just want to make sure I get the right info!
Reply:
    Naturally P levels are adjusted during their CCU stay, I typically look at what they're on 24 hours post placement. Doesn't matter too much if that's not what you did, typically sit around 6-8 anyways</t>
      </text>
    </comment>
    <comment authorId="0" ref="AQ141">
      <text>
        <t xml:space="preserve">======
ID#AAAB6i7mI0s
tc={3A6F8019-4A09-4CCD-8A66-D035E2E81311}    (2026-05-16 18:00:43)
[Threaded comment]
Your version of Excel allows you to read this threaded comment; however, any edits to it will get removed if the file is opened in a newer version of Excel. Learn more: https://go.microsoft.com/fwlink/?linkid=870924
Comment:
    sadly passed away in April 2025</t>
      </text>
    </comment>
    <comment authorId="0" ref="BD141">
      <text>
        <t xml:space="preserve">======
ID#AAAB6i7mI0o
tc={3F0B1C54-DC08-4384-934B-2824119763D6}    (2026-05-16 18:00:43)
[Threaded comment]
Your version of Excel allows you to read this threaded comment; however, any edits to it will get removed if the file is opened in a newer version of Excel. Learn more: https://go.microsoft.com/fwlink/?linkid=870924
Comment:
    s/p LVAD and RVAD</t>
      </text>
    </comment>
  </commentList>
  <extLst>
    <ext uri="GoogleSheetsCustomDataVersion2">
      <go:sheetsCustomData xmlns:go="http://customooxmlschemas.google.com/" r:id="rId1" roundtripDataSignature="AMtx7mgTN8wSrvc7zX7d9wrNweMPRpvgf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
ID#AAAB6i7mJC0
tc={EAB03684-8A9D-4A8E-BD23-5256C16519E8}    (2026-05-16 18:00:43)
[Threaded comment]
Your version of Excel allows you to read this threaded comment; however, any edits to it will get removed if the file is opened in a newer version of Excel. Learn more: https://go.microsoft.com/fwlink/?linkid=870924
Comment:
    pt had impella, then got ecmo/MCS escalation, is this pt therefore not an "ecpella patient"?
Reply:
    If they had an impella 5.5 and then needed additional support with VA-ECMO, then that would be an appropriate person for the study. The ecpella patients I excluded had both modalities placed simultaneously so we can't evaluate for univentricular support performance</t>
      </text>
    </comment>
    <comment authorId="0" ref="AB19">
      <text>
        <t xml:space="preserve">======
ID#AAAB6i7mJCs
tc={B259E4A7-4C10-4A8F-8384-AD08FCD25FC7}    (2026-05-16 18:00:43)
[Threaded comment]
Your version of Excel allows you to read this threaded comment; however, any edits to it will get removed if the file is opened in a newer version of Excel. Learn more: https://go.microsoft.com/fwlink/?linkid=870924
Comment:
    end diastolic pressure</t>
      </text>
    </comment>
    <comment authorId="0" ref="B126">
      <text>
        <t xml:space="preserve">======
ID#AAAB6i7mJCo
tc={B5EC5FD7-84AD-4DC7-8FE4-846BE7F4DFA1}    (2026-05-16 18:00:43)
[Threaded comment]
Your version of Excel allows you to read this threaded comment; however, any edits to it will get removed if the file is opened in a newer version of Excel. Learn more: https://go.microsoft.com/fwlink/?linkid=870924
Comment:
    did receive chlorothiazide 1000 mg IV</t>
      </text>
    </comment>
    <comment authorId="0" ref="J113">
      <text>
        <t xml:space="preserve">======
ID#AAAB6i7mJCU
tc={F88C1B2A-E9BB-4FD4-820D-0C792C70FFE4}    (2026-05-16 18:00:43)
[Threaded comment]
Your version of Excel allows you to read this threaded comment; however, any edits to it will get removed if the file is opened in a newer version of Excel. Learn more: https://go.microsoft.com/fwlink/?linkid=870924
Comment:
    mixed venous gases pH 24 hrs post impella</t>
      </text>
    </comment>
    <comment authorId="0" ref="B85">
      <text>
        <t xml:space="preserve">======
ID#AAAB6i7mJCI
tc={300AB0E2-3D82-4413-B989-1AF50491BD73}    (2026-05-16 18:00:43)
[Threaded comment]
Your version of Excel allows you to read this threaded comment; however, any edits to it will get removed if the file is opened in a newer version of Excel. Learn more: https://go.microsoft.com/fwlink/?linkid=870924
Comment:
    septal flattening in systole c/w RV pressure overload</t>
      </text>
    </comment>
    <comment authorId="0" ref="L141">
      <text>
        <t xml:space="preserve">======
ID#AAAB6i7mJCE
tc={63D4F323-ADC2-447D-BD1F-87710F6B5A0B}    (2026-05-16 18:00:43)
[Threaded comment]
Your version of Excel allows you to read this threaded comment; however, any edits to it will get removed if the file is opened in a newer version of Excel. Learn more: https://go.microsoft.com/fwlink/?linkid=870924
Comment:
    got an LVAD and then later on got a transplant</t>
      </text>
    </comment>
    <comment authorId="0" ref="M130">
      <text>
        <t xml:space="preserve">======
ID#AAAB6i7mJB0
tc={2B1F4064-F507-4A23-847C-B35FAC36D3CC}    (2026-05-16 18:00:43)
[Threaded comment]
Your version of Excel allows you to read this threaded comment; however, any edits to it will get removed if the file is opened in a newer version of Excel. Learn more: https://go.microsoft.com/fwlink/?linkid=870924
Comment:
    patient received 500 mg of chlorothiazide IV ...does this count even tho it's technically not "chlorothalidone"</t>
      </text>
    </comment>
    <comment authorId="0" ref="U81">
      <text>
        <t xml:space="preserve">======
ID#AAAB6i7mJBw
tc={665EC941-31AF-4037-821A-832A29C75B43}    (2026-05-16 18:00:43)
[Threaded comment]
Your version of Excel allows you to read this threaded comment; however, any edits to it will get removed if the file is opened in a newer version of Excel. Learn more: https://go.microsoft.com/fwlink/?linkid=870924
Comment:
    normal RV global systolic function, RV fractional area change of 39%</t>
      </text>
    </comment>
    <comment authorId="0" ref="AA138">
      <text>
        <t xml:space="preserve">======
ID#AAAB6i7mJBg
tc={58D2D8F9-55A5-4A60-805E-71B4CFC10E06}    (2026-05-16 18:00:43)
[Threaded comment]
Your version of Excel allows you to read this threaded comment; however, any edits to it will get removed if the file is opened in a newer version of Excel. Learn more: https://go.microsoft.com/fwlink/?linkid=870924
Comment:
    pt has hx of CKD and was admitted on 2/9 (pre-impella) for an AKI, but SCUF was started after impella+ECMO placement on 3/1, not during the initial impella placement on 2/22</t>
      </text>
    </comment>
    <comment authorId="0" ref="Y74">
      <text>
        <t xml:space="preserve">======
ID#AAAB6i7mJBc
tc={2846FC82-D044-4336-AD4B-43336E43D5F4}    (2026-05-16 18:00:43)
[Threaded comment]
Your version of Excel allows you to read this threaded comment; however, any edits to it will get removed if the file is opened in a newer version of Excel. Learn more: https://go.microsoft.com/fwlink/?linkid=870924
Comment:
    discoordinate septal motion</t>
      </text>
    </comment>
    <comment authorId="0" ref="AC112">
      <text>
        <t xml:space="preserve">======
ID#AAAB6i7mJBU
tc={F4F65FE7-412A-41BA-894B-1FF5D8EF725E}    (2026-05-16 18:00:43)
[Threaded comment]
Your version of Excel allows you to read this threaded comment; however, any edits to it will get removed if the file is opened in a newer version of Excel. Learn more: https://go.microsoft.com/fwlink/?linkid=870924
Comment:
    grabbed 6 days post impella</t>
      </text>
    </comment>
    <comment authorId="0" ref="X140">
      <text>
        <t xml:space="preserve">======
ID#AAAB6i7mJA8
tc={68E1FA15-3692-462B-836D-89ECDB90C2D4}    (2026-05-16 18:00:43)
[Threaded comment]
Your version of Excel allows you to read this threaded comment; however, any edits to it will get removed if the file is opened in a newer version of Excel. Learn more: https://go.microsoft.com/fwlink/?linkid=870924
Comment:
    pt got heart transplant on 2/19/24 -&gt; then got VA-ECMO and developed AKI needed hemodialysis, but this was not due to impella</t>
      </text>
    </comment>
    <comment authorId="0" ref="AA113">
      <text>
        <t xml:space="preserve">======
ID#AAAB6i7mJAw
tc={6330F916-078C-4EB9-B7EE-0063C43D3D82}    (2026-05-16 18:00:43)
[Threaded comment]
Your version of Excel allows you to read this threaded comment; however, any edits to it will get removed if the file is opened in a newer version of Excel. Learn more: https://go.microsoft.com/fwlink/?linkid=870924
Comment:
    from 1 week post impella, no values until earlier</t>
      </text>
    </comment>
    <comment authorId="0" ref="S138">
      <text>
        <t xml:space="preserve">======
ID#AAAB6i7mJAs
tc={E1F5C5F6-7773-4D51-BD4E-62DC03822A76}    (2026-05-16 18:00:43)
[Threaded comment]
Your version of Excel allows you to read this threaded comment; however, any edits to it will get removed if the file is opened in a newer version of Excel. Learn more: https://go.microsoft.com/fwlink/?linkid=870924
Comment:
    implant on 1/5, impella removal+heart transplant on 1/9, pt developed AKI that required CVVHD s/p transplant</t>
      </text>
    </comment>
    <comment authorId="0" ref="P2">
      <text>
        <t xml:space="preserve">======
ID#AAAB6i7mJAk
tc={8B329005-3F44-498E-A057-A14D9EFE9261}    (2026-05-16 18:00:43)
[Threaded comment]
Your version of Excel allows you to read this threaded comment; however, any edits to it will get removed if the file is opened in a newer version of Excel. Learn more: https://go.microsoft.com/fwlink/?linkid=870924
Comment:
    unsure if this is "ecpella" and doesn't count or if we should continue analysing. if I should chart review for this pt, should i use the impella 5.5 placement as the implant date or the impella CP placement as the implant date?
Reply:
    Similar as above, wouldn't count the single day with the CP and after that considered Ecpella</t>
      </text>
    </comment>
    <comment authorId="0" ref="O113">
      <text>
        <t xml:space="preserve">======
ID#AAAB6i7mJAY
tc={692286A6-49E2-4732-B242-4B4559F9A121}    (2026-05-16 18:00:43)
[Threaded comment]
Your version of Excel allows you to read this threaded comment; however, any edits to it will get removed if the file is opened in a newer version of Excel. Learn more: https://go.microsoft.com/fwlink/?linkid=870924
Comment:
    average of arterial blood gas pH taken at different hrs 48 post impella</t>
      </text>
    </comment>
    <comment authorId="0" ref="C85">
      <text>
        <t xml:space="preserve">======
ID#AAAB6i7mJAM
tc={407B5B6F-2E0C-42B4-BC6A-9313B2C3EF7F}    (2026-05-16 18:00:43)
[Threaded comment]
Your version of Excel allows you to read this threaded comment; however, any edits to it will get removed if the file is opened in a newer version of Excel. Learn more: https://go.microsoft.com/fwlink/?linkid=870924
Comment:
    septal flattening in systole and diastole c/w RV pressure and volume overload</t>
      </text>
    </comment>
    <comment authorId="0" ref="L85">
      <text>
        <t xml:space="preserve">======
ID#AAAB6i7mI_8
tc={4EC25B82-06DC-45F8-9480-ADD78AD327A5}    (2026-05-16 18:00:43)
[Threaded comment]
Your version of Excel allows you to read this threaded comment; however, any edits to it will get removed if the file is opened in a newer version of Excel. Learn more: https://go.microsoft.com/fwlink/?linkid=870924
Comment:
    abnormal septal motion that is consistent with conduction abnormality</t>
      </text>
    </comment>
    <comment authorId="0" ref="AA74">
      <text>
        <t xml:space="preserve">======
ID#AAAB6i7mI_4
tc={D5D8F708-144E-45F7-823A-E43FF54DAC8C}    (2026-05-16 18:00:43)
[Threaded comment]
Your version of Excel allows you to read this threaded comment; however, any edits to it will get removed if the file is opened in a newer version of Excel. Learn more: https://go.microsoft.com/fwlink/?linkid=870924
Comment:
    anteroseptal, inferoseptal, inferior walls are akinetic</t>
      </text>
    </comment>
    <comment authorId="0" ref="A132">
      <text>
        <t xml:space="preserve">======
ID#AAAB6i7mI_w
tc={AE6BA0B1-620D-4CE9-B2F1-52E6A2C7C08F}    (2026-05-16 18:00:43)
[Threaded comment]
Your version of Excel allows you to read this threaded comment; however, any edits to it will get removed if the file is opened in a newer version of Excel. Learn more: https://go.microsoft.com/fwlink/?linkid=870924
Comment:
    in general, what day should we look at for the impella performance level + flow? some pts are started at a lower level on day of impella placement but then their impella level inc later on, so I just want to make sure I get the right info!</t>
      </text>
    </comment>
    <comment authorId="0" ref="O2">
      <text>
        <t xml:space="preserve">======
ID#AAAB6i7mI_s
tc={7DC672BF-0D90-4DDB-9AC6-5B341081E7AD}    (2026-05-16 18:00:43)
[Threaded comment]
Your version of Excel allows you to read this threaded comment; however, any edits to it will get removed if the file is opened in a newer version of Excel. Learn more: https://go.microsoft.com/fwlink/?linkid=870924
Comment:
    unsure if this is an "ecpella" pt since they technically got an ecmo 2 days before the impella
Reply:
    ya this person got an impella for LV venting which is a very different clinical scenario than what we're looking for so wouldn't include her. If you have patients you're unsure about, ask me and skip them</t>
      </text>
    </comment>
    <comment authorId="0" ref="R138">
      <text>
        <t xml:space="preserve">======
ID#AAAB6i7mI_Y
tc={AC85FB46-A15C-47DA-A1DD-DEFADF79AAEB}    (2026-05-16 18:00:43)
[Threaded comment]
Your version of Excel allows you to read this threaded comment; however, any edits to it will get removed if the file is opened in a newer version of Excel. Learn more: https://go.microsoft.com/fwlink/?linkid=870924
Comment:
    pt had dialysis due to renal failure but that was after his LVAD placement</t>
      </text>
    </comment>
    <comment authorId="0" ref="AA85">
      <text>
        <t xml:space="preserve">======
ID#AAAB6i7mI_I
tc={FFDC2D54-ACED-4871-B862-6F274D327CBF}    (2026-05-16 18:00:43)
[Threaded comment]
Your version of Excel allows you to read this threaded comment; however, any edits to it will get removed if the file is opened in a newer version of Excel. Learn more: https://go.microsoft.com/fwlink/?linkid=870924
Comment:
    thinned septal wall</t>
      </text>
    </comment>
    <comment authorId="0" ref="X74">
      <text>
        <t xml:space="preserve">======
ID#AAAB6i7mI_E
tc={371216F2-DEA9-4215-B558-AB59C7681579}    (2026-05-16 18:00:43)
[Threaded comment]
Your version of Excel allows you to read this threaded comment; however, any edits to it will get removed if the file is opened in a newer version of Excel. Learn more: https://go.microsoft.com/fwlink/?linkid=870924
Comment:
    septal flattening in diastole c/w RV volume overload
abnonrmal anteroseptal and apical motion c/w conduction abnormality, inferoseptal and inferior walls are akinetic
severe hypokinesis of anteroseptal, anterior, and apical lateral walls and apical cap</t>
      </text>
    </comment>
    <comment authorId="0" ref="U19">
      <text>
        <t xml:space="preserve">======
ID#AAAB6i7mI-8
tc={0B622138-57F5-4B0E-8B5D-9B139E2A3E04}    (2026-05-16 18:00:43)
[Threaded comment]
Your version of Excel allows you to read this threaded comment; however, any edits to it will get removed if the file is opened in a newer version of Excel. Learn more: https://go.microsoft.com/fwlink/?linkid=870924
Comment:
    end diastolic pressure</t>
      </text>
    </comment>
    <comment authorId="0" ref="E113">
      <text>
        <t xml:space="preserve">======
ID#AAAB6i7mI-w
tc={37D13FAE-2341-4109-A4A5-F08A4B4E5761}    (2026-05-16 18:00:43)
[Threaded comment]
Your version of Excel allows you to read this threaded comment; however, any edits to it will get removed if the file is opened in a newer version of Excel. Learn more: https://go.microsoft.com/fwlink/?linkid=870924
Comment:
    this is from ABG results on 4/8,  date of impella 
I couldn't find any pH values later than 4/8</t>
      </text>
    </comment>
    <comment authorId="0" ref="X139">
      <text>
        <t xml:space="preserve">======
ID#AAAB6i7mI-o
tc={6DD41D74-18DB-4C3B-A4DA-14891D3E4475}    (2026-05-16 18:00:43)
[Threaded comment]
Your version of Excel allows you to read this threaded comment; however, any edits to it will get removed if the file is opened in a newer version of Excel. Learn more: https://go.microsoft.com/fwlink/?linkid=870924
Comment:
    was intubated after impella removal &amp; heart transplant</t>
      </text>
    </comment>
    <comment authorId="0" ref="R120">
      <text>
        <t xml:space="preserve">======
ID#AAAB6i7mI-k
tc={6D94AC5F-B753-4A9A-A64D-271548594A5D}    (2026-05-16 18:00:43)
[Threaded comment]
Your version of Excel allows you to read this threaded comment; however, any edits to it will get removed if the file is opened in a newer version of Excel. Learn more: https://go.microsoft.com/fwlink/?linkid=870924
Comment:
    unsure what to put for this one bc when I hover over this section it lists 
0 mcg
0.02 mcg
0.04 mcg
0.03 mcg
Reply:
    Make sure you're looking a few hours prior to the person goign the operating room, they change pressors intra-operatively a lot. We want the steady state dose they were on before. If this is in the CCU and they quickly weaned it off, then I'd split the difference and use 0.02</t>
      </text>
    </comment>
    <comment authorId="0" ref="Q85">
      <text>
        <t xml:space="preserve">======
ID#AAAB6i7mI-g
tc={A63BFF89-3361-40EE-AD31-7F13A5227AAD}    (2026-05-16 18:00:43)
[Threaded comment]
Your version of Excel allows you to read this threaded comment; however, any edits to it will get removed if the file is opened in a newer version of Excel. Learn more: https://go.microsoft.com/fwlink/?linkid=870924
Comment:
    thinner interventricular septum, akinetic, and bowed rightward</t>
      </text>
    </comment>
    <comment authorId="0" ref="AB13">
      <text>
        <t xml:space="preserve">======
ID#AAAB6i7mI-Y
tc={A846FA3F-A8AB-48D7-BCC7-C870AD24B402}    (2026-05-16 18:00:43)
[Threaded comment]
Your version of Excel allows you to read this threaded comment; however, any edits to it will get removed if the file is opened in a newer version of Excel. Learn more: https://go.microsoft.com/fwlink/?linkid=870924
Comment:
    technically she was on one drug, dobut, and one device, IABP, at time/immediately prior to impella placement, but her bp day prior to impella was normal</t>
      </text>
    </comment>
    <comment authorId="0" ref="Y12">
      <text>
        <t xml:space="preserve">======
ID#AAAB6i7mI-U
tc={3EAA8D7E-369B-4248-9A71-4F123D8F246A}    (2026-05-16 18:00:43)
[Threaded comment]
Your version of Excel allows you to read this threaded comment; however, any edits to it will get removed if the file is opened in a newer version of Excel. Learn more: https://go.microsoft.com/fwlink/?linkid=870924
Comment:
    also has a history of cardiogenic shock in 2022 due to thyroid storm (runs of SVT and afib), had renal failure during this time and required HD, hx of STEMI potentially from SCAD, LV thrombus, MCA stroke + subdural hematoma</t>
      </text>
    </comment>
    <comment authorId="0" ref="Q130">
      <text>
        <t xml:space="preserve">======
ID#AAAB6i7mI-A
tc={448DC93D-2F45-4C48-93E2-44E9CD0C2A6D}    (2026-05-16 18:00:43)
[Threaded comment]
Your version of Excel allows you to read this threaded comment; however, any edits to it will get removed if the file is opened in a newer version of Excel. Learn more: https://go.microsoft.com/fwlink/?linkid=870924
Comment:
    chlorothiazide 500 mg IV</t>
      </text>
    </comment>
    <comment authorId="0" ref="T141">
      <text>
        <t xml:space="preserve">======
ID#AAAB6i7mI9o
tc={92B48A75-FF36-4855-B604-42EE0F80AF0F}    (2026-05-16 18:00:43)
[Threaded comment]
Your version of Excel allows you to read this threaded comment; however, any edits to it will get removed if the file is opened in a newer version of Excel. Learn more: https://go.microsoft.com/fwlink/?linkid=870924
Comment:
    pt received heart transplant on 2/24 and passed away on 9/24</t>
      </text>
    </comment>
    <comment authorId="0" ref="K74">
      <text>
        <t xml:space="preserve">======
ID#AAAB6i7mI9Y
tc={8ABABBE5-F3FB-4FCB-B143-90EF79E3D761}    (2026-05-16 18:00:43)
[Threaded comment]
Your version of Excel allows you to read this threaded comment; however, any edits to it will get removed if the file is opened in a newer version of Excel. Learn more: https://go.microsoft.com/fwlink/?linkid=870924
Comment:
    The echo mentions paradoxical septal motion (which I think is when the septum bows towards the RV, instead of towards the LV as expected. But I think this is different from septal flattening, so I put a 0 for this value. Please let me know if I should change it!
Reply:
    Correct, paradoxical motion occurs when there's univentricular pacing or a bundle branch block that results in asynchronous contraction of the septum. That's different from what we're looking for, you're spot on</t>
      </text>
    </comment>
    <comment authorId="0" ref="N99">
      <text>
        <t xml:space="preserve">======
ID#AAAB6i7mI9Q
tc={DCF08BC9-8081-415A-8745-710AE2A6D2BC}    (2026-05-16 18:00:43)
[Threaded comment]
Your version of Excel allows you to read this threaded comment; however, any edits to it will get removed if the file is opened in a newer version of Excel. Learn more: https://go.microsoft.com/fwlink/?linkid=870924
Comment:
    venous gas measurement taken 1 day before RHC</t>
      </text>
    </comment>
    <comment authorId="0" ref="L74">
      <text>
        <t xml:space="preserve">======
ID#AAAB6i7mI9M
tc={74D70EA3-B92D-4EE6-B445-9C5384E58413}    (2026-05-16 18:00:43)
[Threaded comment]
Your version of Excel allows you to read this threaded comment; however, any edits to it will get removed if the file is opened in a newer version of Excel. Learn more: https://go.microsoft.com/fwlink/?linkid=870924
Comment:
    abnormal septal motion due to conduction abnormality but no flattening</t>
      </text>
    </comment>
    <comment authorId="0" ref="AG84">
      <text>
        <t xml:space="preserve">======
ID#AAAB6i7mI88
tc={F83B5D3C-070D-4B2C-BC3B-6BB1490D0C13}    (2026-05-16 18:00:43)
[Threaded comment]
Your version of Excel allows you to read this threaded comment; however, any edits to it will get removed if the file is opened in a newer version of Excel. Learn more: https://go.microsoft.com/fwlink/?linkid=870924
Comment:
    was noted to be 5.86 cm on echo report from 4/19, a day after impella</t>
      </text>
    </comment>
    <comment authorId="0" ref="Z74">
      <text>
        <t xml:space="preserve">======
ID#AAAB6i7mI8w
tc={D816792D-1DC8-458D-BF95-805869BD163A}    (2026-05-16 18:00:43)
[Threaded comment]
Your version of Excel allows you to read this threaded comment; however, any edits to it will get removed if the file is opened in a newer version of Excel. Learn more: https://go.microsoft.com/fwlink/?linkid=870924
Comment:
    abnormal septal motion c/w post op state freedom from pericardial restraint</t>
      </text>
    </comment>
    <comment authorId="0" ref="B138">
      <text>
        <t xml:space="preserve">======
ID#AAAB6i7mI8s
tc={CD77594C-40A6-42E1-8AA0-8D5ECCAF28FC}    (2026-05-16 18:00:43)
[Threaded comment]
Your version of Excel allows you to read this threaded comment; however, any edits to it will get removed if the file is opened in a newer version of Excel. Learn more: https://go.microsoft.com/fwlink/?linkid=870924
Comment:
    did have renal failure w/ high Cr levels, but was listed for kidney transplant during impella course</t>
      </text>
    </comment>
    <comment authorId="0" ref="D16">
      <text>
        <t xml:space="preserve">======
ID#AAAB6i7mI8o
tc={B8E954AF-99A1-40FA-BE71-B2D9B81E6618}    (2026-05-16 18:00:43)
[Threaded comment]
Your version of Excel allows you to read this threaded comment; however, any edits to it will get removed if the file is opened in a newer version of Excel. Learn more: https://go.microsoft.com/fwlink/?linkid=870924
Comment:
    pt's most recent RHC before impella is on 3/8/22, which is nearly a month before his impella placement on 4/4/22 and I believe this past the 7 day RHC window</t>
      </text>
    </comment>
    <comment authorId="0" ref="C140">
      <text>
        <t xml:space="preserve">======
ID#AAAB6i7mI8k
tc={A403ACF5-7642-4349-9A1B-E6304E2EDE49}    (2026-05-16 18:00:43)
[Threaded comment]
Your version of Excel allows you to read this threaded comment; however, any edits to it will get removed if the file is opened in a newer version of Excel. Learn more: https://go.microsoft.com/fwlink/?linkid=870924
Comment:
    ECMO on 5/27 due to elevated filling pressures on impella + RV filure</t>
      </text>
    </comment>
    <comment authorId="0" ref="AF85">
      <text>
        <t xml:space="preserve">======
ID#AAAB6i7mI8Y
tc={73A1C6C5-5B42-4091-9EED-145A36235893}    (2026-05-16 18:00:43)
[Threaded comment]
Your version of Excel allows you to read this threaded comment; however, any edits to it will get removed if the file is opened in a newer version of Excel. Learn more: https://go.microsoft.com/fwlink/?linkid=870924
Comment:
    abnormal septal motion c/w conduction abnormality</t>
      </text>
    </comment>
    <comment authorId="0" ref="Z85">
      <text>
        <t xml:space="preserve">======
ID#AAAB6i7mI8E
tc={A01A5CCC-FA3F-4B96-841D-73762441A124}    (2026-05-16 18:00:43)
[Threaded comment]
Your version of Excel allows you to read this threaded comment; however, any edits to it will get removed if the file is opened in a newer version of Excel. Learn more: https://go.microsoft.com/fwlink/?linkid=870924
Comment:
    abnormal paradoxical motion</t>
      </text>
    </comment>
    <comment authorId="0" ref="M98">
      <text>
        <t xml:space="preserve">======
ID#AAAB6i7mI8A
tc={9046CD81-5B19-44CF-B493-0DF175597F37}    (2026-05-16 18:00:43)
[Threaded comment]
Your version of Excel allows you to read this threaded comment; however, any edits to it will get removed if the file is opened in a newer version of Excel. Learn more: https://go.microsoft.com/fwlink/?linkid=870924
Comment:
    no lactate on date of index RHC, but got it from 2 days pre index RHC</t>
      </text>
    </comment>
    <comment authorId="0" ref="AG141">
      <text>
        <t xml:space="preserve">======
ID#AAAB6i7mI7o
tc={BFB342C1-1EC8-4C06-B2CE-7729D24E75F6}    (2026-05-16 18:00:43)
[Threaded comment]
Your version of Excel allows you to read this threaded comment; however, any edits to it will get removed if the file is opened in a newer version of Excel. Learn more: https://go.microsoft.com/fwlink/?linkid=870924
Comment:
    impella removal on 4/26 with plan to transition to hospice care
Reply:
    dobut turned off on 4/23</t>
      </text>
    </comment>
    <comment authorId="0" ref="A90">
      <text>
        <t xml:space="preserve">======
ID#AAAB6i7mI7k
tc={5B93F5B5-8D74-4EE6-BDAA-9BB7A0E14A65}    (2026-05-16 18:00:43)
[Threaded comment]
Your version of Excel allows you to read this threaded comment; however, any edits to it will get removed if the file is opened in a newer version of Excel. Learn more: https://go.microsoft.com/fwlink/?linkid=870924
Comment:
    for the bicarb measurements, is it ok to use the CO2 values listed under the chem profile in the results/lab tab? or should we be using the calculated bicarb from the blood gases? i remember you telling me that you get the values from the cmp, but I can't find the CMP section in my epic results tab
Reply:
    Ya would use CMP first but gas is fine if not available. They correlate quite well</t>
      </text>
    </comment>
    <comment authorId="0" ref="D12">
      <text>
        <t xml:space="preserve">======
ID#AAAB6i7mI7Y
tc={F9D9D48D-6B9A-43E2-A464-766134860FA2}    (2026-05-16 18:00:43)
[Threaded comment]
Your version of Excel allows you to read this threaded comment; however, any edits to it will get removed if the file is opened in a newer version of Excel. Learn more: https://go.microsoft.com/fwlink/?linkid=870924
Comment:
    unsure if this should be 2 or 1, b/c patient has premature CAD (maybe due to familial hypercholesteremia) and was found to have a STEMI in 12/12/21 and after his PCI, his EF was severely reduced and was considered as ischemic cardiomyopathy, so it could be cardiomyopathy or due to a STEMI</t>
      </text>
    </comment>
    <comment authorId="0" ref="B125">
      <text>
        <t xml:space="preserve">======
ID#AAAB6i7mI7U
tc={884829C8-155D-40C0-9366-CD3DC59D5E1D}    (2026-05-16 18:00:43)
[Threaded comment]
Your version of Excel allows you to read this threaded comment; however, any edits to it will get removed if the file is opened in a newer version of Excel. Learn more: https://go.microsoft.com/fwlink/?linkid=870924
Comment:
    diuresis flowsheet mentions that pt was given 30 mg/hr for the entire day prior to impella. The 30 mg/hr dose was given from bw 8-12, unsure if they were given another dose</t>
      </text>
    </comment>
    <comment authorId="0" ref="AF140">
      <text>
        <t xml:space="preserve">======
ID#AAAB6i7mI7M
tc={946C2FCC-45F6-4993-91FC-7D70AE3C11E5}    (2026-05-16 18:00:43)
[Threaded comment]
Your version of Excel allows you to read this threaded comment; however, any edits to it will get removed if the file is opened in a newer version of Excel. Learn more: https://go.microsoft.com/fwlink/?linkid=870924
Comment:
    received VA ECMO on 5/21</t>
      </text>
    </comment>
    <comment authorId="0" ref="J112">
      <text>
        <t xml:space="preserve">======
ID#AAAB6i7mI7I
tc={222EB1D8-C711-4467-B295-017A0FF24659}    (2026-05-16 18:00:43)
[Threaded comment]
Your version of Excel allows you to read this threaded comment; however, any edits to it will get removed if the file is opened in a newer version of Excel. Learn more: https://go.microsoft.com/fwlink/?linkid=870924
Comment:
    24 hrs post impella</t>
      </text>
    </comment>
    <comment authorId="0" ref="E85">
      <text>
        <t xml:space="preserve">======
ID#AAAB6i7mI6o
tc={E43F2499-5E70-4D6C-B53C-38422DBF9337}    (2026-05-16 18:00:43)
[Threaded comment]
Your version of Excel allows you to read this threaded comment; however, any edits to it will get removed if the file is opened in a newer version of Excel. Learn more: https://go.microsoft.com/fwlink/?linkid=870924
Comment:
    septal flattening in systole c/w RV pressure overload</t>
      </text>
    </comment>
    <comment authorId="0" ref="X83">
      <text>
        <t xml:space="preserve">======
ID#AAAB6i7mI6k
tc={69D2E637-783C-43C9-B02B-4B8367CD6EBE}    (2026-05-16 18:00:43)
[Threaded comment]
Your version of Excel allows you to read this threaded comment; however, any edits to it will get removed if the file is opened in a newer version of Excel. Learn more: https://go.microsoft.com/fwlink/?linkid=870924
Comment:
    severe pulm htn noted</t>
      </text>
    </comment>
    <comment authorId="0" ref="X85">
      <text>
        <t xml:space="preserve">======
ID#AAAB6i7mI6c
tc={4CA30011-9D7C-40DB-89B7-2F77A59C23EF}    (2026-05-16 18:00:43)
[Threaded comment]
Your version of Excel allows you to read this threaded comment; however, any edits to it will get removed if the file is opened in a newer version of Excel. Learn more: https://go.microsoft.com/fwlink/?linkid=870924
Comment:
    septal flattening in systole and diastole c/w RV pressure and volume overload</t>
      </text>
    </comment>
    <comment authorId="0" ref="AF141">
      <text>
        <t xml:space="preserve">======
ID#AAAB6i7mI6I
tc={65C3978D-BF68-46BB-BD94-424E51DE4EE3}    (2026-05-16 18:00:43)
[Threaded comment]
Your version of Excel allows you to read this threaded comment; however, any edits to it will get removed if the file is opened in a newer version of Excel. Learn more: https://go.microsoft.com/fwlink/?linkid=870924
Comment:
    pt s/p heart transplant on 5/28/24 but passed away on 7/19/24</t>
      </text>
    </comment>
    <comment authorId="0" ref="C99">
      <text>
        <t xml:space="preserve">======
ID#AAAB6i7mI58
tc={688B19AE-D98D-452B-B0A0-8DB9B24B937A}    (2026-05-16 18:00:43)
[Threaded comment]
Your version of Excel allows you to read this threaded comment; however, any edits to it will get removed if the file is opened in a newer version of Excel. Learn more: https://go.microsoft.com/fwlink/?linkid=870924
Comment:
    couldn't get pH on date of RHC, but the earliest pH that was available was the arterial pH from day of impella implant</t>
      </text>
    </comment>
    <comment authorId="0" ref="AF12">
      <text>
        <t xml:space="preserve">======
ID#AAAB6i7mI54
tc={B9949AFD-7F11-46C2-8F86-3E3A9B2A5F19}    (2026-05-16 18:00:43)
[Threaded comment]
Your version of Excel allows you to read this threaded comment; however, any edits to it will get removed if the file is opened in a newer version of Excel. Learn more: https://go.microsoft.com/fwlink/?linkid=870924
Comment:
    also has VT and AVNRT s/p multiple ablations</t>
      </text>
    </comment>
    <comment authorId="0" ref="R19">
      <text>
        <t xml:space="preserve">======
ID#AAAB6i7mI50
Medha Majety    (2026-05-16 18:00:43)
RV end diastolic pressure, not RVDP</t>
      </text>
    </comment>
    <comment authorId="0" ref="AC113">
      <text>
        <t xml:space="preserve">======
ID#AAAB6i7mI5w
tc={4CEA50C5-7C53-4EEB-BD01-493100A78882}    (2026-05-16 18:00:43)
[Threaded comment]
Your version of Excel allows you to read this threaded comment; however, any edits to it will get removed if the file is opened in a newer version of Excel. Learn more: https://go.microsoft.com/fwlink/?linkid=870924
Comment:
    also grabbed 6 days post impella</t>
      </text>
    </comment>
    <comment authorId="0" ref="Q74">
      <text>
        <t xml:space="preserve">======
ID#AAAB6i7mI5o
tc={CDBA9605-5A64-44F9-857A-251473A2AC70}    (2026-05-16 18:00:43)
[Threaded comment]
Your version of Excel allows you to read this threaded comment; however, any edits to it will get removed if the file is opened in a newer version of Excel. Learn more: https://go.microsoft.com/fwlink/?linkid=870924
Comment:
    abnormal septal motion consistent w/ conduction abnormality + hypokinesis in LV that is worse in septum</t>
      </text>
    </comment>
    <comment authorId="0" ref="U13">
      <text>
        <t xml:space="preserve">======
ID#AAAB6i7mI5Y
tc={205C4ACB-E23A-4F10-B233-A274E2A64484}    (2026-05-16 18:00:43)
[Threaded comment]
Your version of Excel allows you to read this threaded comment; however, any edits to it will get removed if the file is opened in a newer version of Excel. Learn more: https://go.microsoft.com/fwlink/?linkid=870924
Comment:
    I feel like it should be 0 bc he wasn't hypotensive, and his lactate and LFTs were normal at time of impella</t>
      </text>
    </comment>
    <comment authorId="0" ref="C74">
      <text>
        <t xml:space="preserve">======
ID#AAAB6i7mI5Q
tc={C950EBAC-A0F9-44C6-A19D-1CDC4CAC798A}    (2026-05-16 18:00:43)
[Threaded comment]
Your version of Excel allows you to read this threaded comment; however, any edits to it will get removed if the file is opened in a newer version of Excel. Learn more: https://go.microsoft.com/fwlink/?linkid=870924
Comment:
    thin anteroseptal segments</t>
      </text>
    </comment>
    <comment authorId="0" ref="X72">
      <text>
        <t xml:space="preserve">======
ID#AAAB6i7mI5I
tc={B7E9B02C-8036-4E48-A4FD-2F87CC2F92D5}    (2026-05-16 18:00:43)
[Threaded comment]
Your version of Excel allows you to read this threaded comment; however, any edits to it will get removed if the file is opened in a newer version of Excel. Learn more: https://go.microsoft.com/fwlink/?linkid=870924
Comment:
    maybe underestimated due to severity of TR</t>
      </text>
    </comment>
    <comment authorId="0" ref="L113">
      <text>
        <t xml:space="preserve">======
ID#AAAB6i7mI48
tc={414F80FE-C353-4368-BF8C-03E0B1D4E2D8}    (2026-05-16 18:00:43)
[Threaded comment]
Your version of Excel allows you to read this threaded comment; however, any edits to it will get removed if the file is opened in a newer version of Excel. Learn more: https://go.microsoft.com/fwlink/?linkid=870924
Comment:
    no pH values in any blood gas measurements for weeks post impella</t>
      </text>
    </comment>
    <comment authorId="0" ref="L40">
      <text>
        <t xml:space="preserve">======
ID#AAAB6i7mI44
tc={94193DBA-EC27-4673-83B9-311C14E75444}    (2026-05-16 18:00:43)
[Threaded comment]
Your version of Excel allows you to read this threaded comment; however, any edits to it will get removed if the file is opened in a newer version of Excel. Learn more: https://go.microsoft.com/fwlink/?linkid=870924
Comment:
    I don't think this patient ever had a Swan placed, bc when I went to the flowsheet there are no hemos at all. There is a RHC performed 2 wks after impella placement. Should I use enter those values in this section?
Reply:
    Ya you're right, guess we'll just have to leave it blank. Fascinating they didn't leave it in</t>
      </text>
    </comment>
    <comment authorId="0" ref="AI16">
      <text>
        <t xml:space="preserve">======
ID#AAAB6i7mI4o
tc={FC783A72-A59E-4F8A-8E85-1173E57C833B}    (2026-05-16 18:00:43)
[Threaded comment]
Your version of Excel allows you to read this threaded comment; however, any edits to it will get removed if the file is opened in a newer version of Excel. Learn more: https://go.microsoft.com/fwlink/?linkid=870924
Comment:
    mean PA pressure is elevated at 37 mmHg c/w pulm htn</t>
      </text>
    </comment>
    <comment authorId="0" ref="D6">
      <text>
        <t xml:space="preserve">======
ID#AAAB6i7mI4k
tc={274EA1F9-545D-46A3-9E89-FFA5FAC42953}    (2026-05-16 18:00:43)
[Threaded comment]
Your version of Excel allows you to read this threaded comment; however, any edits to it will get removed if the file is opened in a newer version of Excel. Learn more: https://go.microsoft.com/fwlink/?linkid=870924
Comment:
    pt had a IABP placed 11 days after the impella</t>
      </text>
    </comment>
    <comment authorId="0" ref="B76">
      <text>
        <t xml:space="preserve">======
ID#AAAB6i7mI4Y
tc={E14233AF-3744-4E7D-B135-AD2BEAF570B2}    (2026-05-16 18:00:43)
[Threaded comment]
Your version of Excel allows you to read this threaded comment; however, any edits to it will get removed if the file is opened in a newer version of Excel. Learn more: https://go.microsoft.com/fwlink/?linkid=870924
Comment:
    RV EDA 24.6, RV ESA 16.5, RV FAC 33%</t>
      </text>
    </comment>
    <comment authorId="0" ref="Y19">
      <text>
        <t xml:space="preserve">======
ID#AAAB6i7mI4I
tc={9763D267-F14B-4533-A235-DB361AE831F8}    (2026-05-16 18:00:43)
[Threaded comment]
Your version of Excel allows you to read this threaded comment; however, any edits to it will get removed if the file is opened in a newer version of Excel. Learn more: https://go.microsoft.com/fwlink/?linkid=870924
Comment:
    RV end diastolic</t>
      </text>
    </comment>
    <comment authorId="0" ref="S19">
      <text>
        <t xml:space="preserve">======
ID#AAAB6i7mI38
tc={72D26E25-F0FD-4AC0-BF62-B61579FB3E02}    (2026-05-16 18:00:43)
[Threaded comment]
Your version of Excel allows you to read this threaded comment; however, any edits to it will get removed if the file is opened in a newer version of Excel. Learn more: https://go.microsoft.com/fwlink/?linkid=870924
Comment:
    RV end diastolic, not RVDP
Reply:
    As above</t>
      </text>
    </comment>
    <comment authorId="0" ref="Y13">
      <text>
        <t xml:space="preserve">======
ID#AAAB6i7mI3s
tc={2497D6A7-995A-4DE2-99BC-170B0988B094}    (2026-05-16 18:00:43)
[Threaded comment]
Your version of Excel allows you to read this threaded comment; however, any edits to it will get removed if the file is opened in a newer version of Excel. Learn more: https://go.microsoft.com/fwlink/?linkid=870924
Comment:
    pt was on dobut hrs prior to surgery and had IABP but that was removed prior to impella, so does this mean that this pt had just 1 drug or a total of 2 devices+drugs? either way they were not hypotensive</t>
      </text>
    </comment>
    <comment authorId="0" ref="O19">
      <text>
        <t xml:space="preserve">======
ID#AAAB6i7mI3g
tc={DFFAEA5C-7FA1-422E-957A-08AA2B6C0D55}    (2026-05-16 18:00:43)
[Threaded comment]
Your version of Excel allows you to read this threaded comment; however, any edits to it will get removed if the file is opened in a newer version of Excel. Learn more: https://go.microsoft.com/fwlink/?linkid=870924
Comment:
    RV end diastolic pressure
Reply:
    Don't need to differentiate between these two, in the cath lab we're looking for RVEDP but may just write RVDP</t>
      </text>
    </comment>
    <comment authorId="0" ref="AC19">
      <text>
        <t xml:space="preserve">======
ID#AAAB6i7mI3c
tc={4420A884-E7A7-48D3-9997-F2CC4149992F}    (2026-05-16 18:00:43)
[Threaded comment]
Your version of Excel allows you to read this threaded comment; however, any edits to it will get removed if the file is opened in a newer version of Excel. Learn more: https://go.microsoft.com/fwlink/?linkid=870924
Comment:
    end diastolic pressure</t>
      </text>
    </comment>
    <comment authorId="0" ref="AB12">
      <text>
        <t xml:space="preserve">======
ID#AAAB6i7mI3Y
tc={206CB64A-7E71-4A85-8DFB-E02279DB6647}    (2026-05-16 18:00:43)
[Threaded comment]
Your version of Excel allows you to read this threaded comment; however, any edits to it will get removed if the file is opened in a newer version of Excel. Learn more: https://go.microsoft.com/fwlink/?linkid=870924
Comment:
    mixed CM due to peri-partum cardiomyopathy and LAD infarct
pt also has severe MR + severe TR...unsure if this is valvular or cardiomyopathy then</t>
      </text>
    </comment>
    <comment authorId="0" ref="Q112">
      <text>
        <t xml:space="preserve">======
ID#AAAB6i7mI3U
Medha Majety    (2026-05-16 18:00:43)
taken 6 days post impella, no other earlier measurements</t>
      </text>
    </comment>
    <comment authorId="0" ref="E16">
      <text>
        <t xml:space="preserve">======
ID#AAAB6i7mI3Q
tc={177E5716-D360-426A-8040-37C0E690157F}    (2026-05-16 18:00:43)
[Threaded comment]
Your version of Excel allows you to read this threaded comment; however, any edits to it will get removed if the file is opened in a newer version of Excel. Learn more: https://go.microsoft.com/fwlink/?linkid=870924
Comment:
    mean PA pressure is elevated at 34 mmHg c/w pulm htn</t>
      </text>
    </comment>
    <comment authorId="0" ref="Q19">
      <text>
        <t xml:space="preserve">======
ID#AAAB6i7mI3M
Medha Majety    (2026-05-16 18:00:43)
RV end diastolic pressure, not RVDP</t>
      </text>
    </comment>
    <comment authorId="0" ref="AA140">
      <text>
        <t xml:space="preserve">======
ID#AAAB6i7mI3A
tc={8E643F3C-FDA2-437C-93A3-276C44042281}    (2026-05-16 18:00:43)
[Threaded comment]
Your version of Excel allows you to read this threaded comment; however, any edits to it will get removed if the file is opened in a newer version of Excel. Learn more: https://go.microsoft.com/fwlink/?linkid=870924
Comment:
    pt had impella placement on 2/22/24, but it was dislodged on 3/1 and on 3/1, the impella was readjusted to the right place and ecmo was also placed then</t>
      </text>
    </comment>
    <comment authorId="0" ref="E138">
      <text>
        <t xml:space="preserve">======
ID#AAAB6i7mI28
tc={A7245141-361E-4A16-8BD7-76328A76E46B}    (2026-05-16 18:00:43)
[Threaded comment]
Your version of Excel allows you to read this threaded comment; however, any edits to it will get removed if the file is opened in a newer version of Excel. Learn more: https://go.microsoft.com/fwlink/?linkid=870924
Comment:
    high levels of Cr, CKD stage 5, but no dialysis b/c considering combined heart + kidney transplant</t>
      </text>
    </comment>
    <comment authorId="0" ref="B130">
      <text>
        <t xml:space="preserve">======
ID#AAAB6i7mI24
tc={54FAB097-7C45-4FFD-B086-C0E3F7DCDACF}    (2026-05-16 18:00:43)
[Threaded comment]
Your version of Excel allows you to read this threaded comment; however, any edits to it will get removed if the file is opened in a newer version of Excel. Learn more: https://go.microsoft.com/fwlink/?linkid=870924
Comment:
    1000 mg chlorothiazide</t>
      </text>
    </comment>
    <comment authorId="0" ref="AF138">
      <text>
        <t xml:space="preserve">======
ID#AAAB6i7mI2w
tc={B29390E4-3FCE-4711-988B-2EE8E0E15595}    (2026-05-16 18:00:43)
[Threaded comment]
Your version of Excel allows you to read this threaded comment; however, any edits to it will get removed if the file is opened in a newer version of Excel. Learn more: https://go.microsoft.com/fwlink/?linkid=870924
Comment:
    developed AKI and renal failure after heart transplant</t>
      </text>
    </comment>
    <comment authorId="0" ref="X19">
      <text>
        <t xml:space="preserve">======
ID#AAAB6i7mI2o
tc={6381B2E4-29B5-4955-929A-C470CA22C684}    (2026-05-16 18:00:43)
[Threaded comment]
Your version of Excel allows you to read this threaded comment; however, any edits to it will get removed if the file is opened in a newer version of Excel. Learn more: https://go.microsoft.com/fwlink/?linkid=870924
Comment:
    end diastolic pressure</t>
      </text>
    </comment>
    <comment authorId="0" ref="T19">
      <text>
        <t xml:space="preserve">======
ID#AAAB6i7mI2k
tc={C6BC37F7-CA27-417F-BAA0-4ABF08022774}    (2026-05-16 18:00:43)
[Threaded comment]
Your version of Excel allows you to read this threaded comment; however, any edits to it will get removed if the file is opened in a newer version of Excel. Learn more: https://go.microsoft.com/fwlink/?linkid=870924
Comment:
    RV end diastolic pressure</t>
      </text>
    </comment>
    <comment authorId="0" ref="C130">
      <text>
        <t xml:space="preserve">======
ID#AAAB6i7mI2Y
tc={D1474307-C358-4B8E-A18D-C5B67B3C4D8F}    (2026-05-16 18:00:43)
[Threaded comment]
Your version of Excel allows you to read this threaded comment; however, any edits to it will get removed if the file is opened in a newer version of Excel. Learn more: https://go.microsoft.com/fwlink/?linkid=870924
Comment:
    500 mg chlorothiazide</t>
      </text>
    </comment>
    <comment authorId="0" ref="Z19">
      <text>
        <t xml:space="preserve">======
ID#AAAB6i7mI2M
tc={FDD42766-E8C1-44D4-95F7-73B48668E484}    (2026-05-16 18:00:43)
[Threaded comment]
Your version of Excel allows you to read this threaded comment; however, any edits to it will get removed if the file is opened in a newer version of Excel. Learn more: https://go.microsoft.com/fwlink/?linkid=870924
Comment:
    end diastolic</t>
      </text>
    </comment>
    <comment authorId="0" ref="AC12">
      <text>
        <t xml:space="preserve">======
ID#AAAB6i7mI2I
tc={99D3CFA8-64BA-45EE-A7BC-D04D5D1B4ECB}    (2026-05-16 18:00:43)
[Threaded comment]
Your version of Excel allows you to read this threaded comment; however, any edits to it will get removed if the file is opened in a newer version of Excel. Learn more: https://go.microsoft.com/fwlink/?linkid=870924
Comment:
    also has severe MR</t>
      </text>
    </comment>
    <comment authorId="0" ref="M40">
      <text>
        <t xml:space="preserve">======
ID#AAAB6i7mI14
tc={34E920B3-9865-4418-9E60-C0C9D65E2694}    (2026-05-16 18:00:43)
[Threaded comment]
Your version of Excel allows you to read this threaded comment; however, any edits to it will get removed if the file is opened in a newer version of Excel. Learn more: https://go.microsoft.com/fwlink/?linkid=870924
Comment:
    missing hemos 48 hrs post, but these are 72 hrs post impella
Reply:
    We'll have to make some concessions, this is very appropriate</t>
      </text>
    </comment>
    <comment authorId="0" ref="B29">
      <text>
        <t xml:space="preserve">======
ID#AAAB6i7mI10
tc={DCF077F7-A476-4D55-AF77-462A94AF9972}    (2026-05-16 18:00:43)
[Threaded comment]
Your version of Excel allows you to read this threaded comment; however, any edits to it will get removed if the file is opened in a newer version of Excel. Learn more: https://go.microsoft.com/fwlink/?linkid=870924
Comment:
    I had to grab this from the flowsheet on 2/25 (same day as index RHC), since it wasn't mentioned in the report</t>
      </text>
    </comment>
    <comment authorId="0" ref="AD2">
      <text>
        <t xml:space="preserve">======
ID#AAAB6i7mI1w
tc={5F52D725-6E0A-4E6E-8777-6B0219FFA389}    (2026-05-16 18:00:43)
[Threaded comment]
Your version of Excel allows you to read this threaded comment; however, any edits to it will get removed if the file is opened in a newer version of Excel. Learn more: https://go.microsoft.com/fwlink/?linkid=870924
Comment:
    I think this is an ecpella pt bc he had heart transplant on 3/9/24 but then required ECMO + impella which were placed at same time after heart transplant</t>
      </text>
    </comment>
    <comment authorId="0" ref="Y85">
      <text>
        <t xml:space="preserve">======
ID#AAAB6i7mI1Y
tc={C956AC8A-2CFE-400F-A1F7-A6B0CD561E69}    (2026-05-16 18:00:43)
[Threaded comment]
Your version of Excel allows you to read this threaded comment; however, any edits to it will get removed if the file is opened in a newer version of Excel. Learn more: https://go.microsoft.com/fwlink/?linkid=870924
Comment:
    septum appears akinetic</t>
      </text>
    </comment>
    <comment authorId="0" ref="V14">
      <text>
        <t xml:space="preserve">======
ID#AAAB6i7mI1I
tc={4A1FE5C3-BEA1-4286-970D-07B19740894A}    (2026-05-16 18:00:43)
[Threaded comment]
Your version of Excel allows you to read this threaded comment; however, any edits to it will get removed if the file is opened in a newer version of Excel. Learn more: https://go.microsoft.com/fwlink/?linkid=870924
Comment:
    impella placement = 1/17/24
cohort mentions pt got RHC 4 days prior to impella (~1/13/24), but pt's most recent RHC prior to impella is on 12/14/23
Reply:
    unsure if I should still analyze of if they are excluded since their RHC is &gt;7 days pre impella</t>
      </text>
    </comment>
    <comment authorId="0" ref="Z80">
      <text>
        <t xml:space="preserve">======
ID#AAAB6i7mI1E
tc={95493060-98EC-4A4E-8349-87BE19B3FADB}    (2026-05-16 18:00:43)
[Threaded comment]
Your version of Excel allows you to read this threaded comment; however, any edits to it will get removed if the file is opened in a newer version of Excel. Learn more: https://go.microsoft.com/fwlink/?linkid=870924
Comment:
    tissue Dopples S' velocity</t>
      </text>
    </comment>
    <comment authorId="0" ref="S98">
      <text>
        <t xml:space="preserve">======
ID#AAAB6i7mI1A
tc={5E7E6A5F-6A42-4AA2-8A3D-407A0C81DDD5}    (2026-05-16 18:00:43)
[Threaded comment]
Your version of Excel allows you to read this threaded comment; however, any edits to it will get removed if the file is opened in a newer version of Excel. Learn more: https://go.microsoft.com/fwlink/?linkid=870924
Comment:
    no lactate measurements on date of RHC, but grabbed lactate from one day post RHC
Reply:
    ya I just take the closest one, it's not perfect</t>
      </text>
    </comment>
    <comment authorId="0" ref="AG12">
      <text>
        <t xml:space="preserve">======
ID#AAAB6i7mI08
tc={5CE1F54C-2D50-487E-8C6D-DF1EEADCE2DA}    (2026-05-16 18:00:43)
[Threaded comment]
Your version of Excel allows you to read this threaded comment; however, any edits to it will get removed if the file is opened in a newer version of Excel. Learn more: https://go.microsoft.com/fwlink/?linkid=870924
Comment:
    unsure about this...the H&amp;P mentions pt presentation of indigestion, cath results showing severe occlusion/triple vessel dx and tropnins are high , so I put down AMI but the report never mentions a heart attack</t>
      </text>
    </comment>
    <comment authorId="0" ref="AB140">
      <text>
        <t xml:space="preserve">======
ID#AAAB6i7mI04
tc={FE9DC6B5-C520-4077-9CB0-B3C506C3A9F8}    (2026-05-16 18:00:43)
[Threaded comment]
Your version of Excel allows you to read this threaded comment; however, any edits to it will get removed if the file is opened in a newer version of Excel. Learn more: https://go.microsoft.com/fwlink/?linkid=870924
Comment:
    pt got heart transplant on 3/24 (~ month post impella) and then needed ECMO + impella support post transplant</t>
      </text>
    </comment>
    <comment authorId="0" ref="R42">
      <text>
        <t xml:space="preserve">======
ID#AAAB6i7mI0w
tc={564960E9-0388-4C27-B7E4-F89FC2F4796B}    (2026-05-16 18:00:43)
[Threaded comment]
Your version of Excel allows you to read this threaded comment; however, any edits to it will get removed if the file is opened in a newer version of Excel. Learn more: https://go.microsoft.com/fwlink/?linkid=870924
Comment:
    RV end diastolic pressure, not RVDP</t>
      </text>
    </comment>
  </commentList>
  <extLst>
    <ext uri="GoogleSheetsCustomDataVersion2">
      <go:sheetsCustomData xmlns:go="http://customooxmlschemas.google.com/" r:id="rId1" roundtripDataSignature="AMtx7mhqDkUB13OFsHinzNzC3RM7RKmETg=="/>
    </ext>
  </extLst>
</comments>
</file>

<file path=xl/sharedStrings.xml><?xml version="1.0" encoding="utf-8"?>
<sst xmlns="http://schemas.openxmlformats.org/spreadsheetml/2006/main" count="2758" uniqueCount="575">
  <si>
    <t>JH75573162</t>
  </si>
  <si>
    <t>JH07691259</t>
  </si>
  <si>
    <t>JH38261134</t>
  </si>
  <si>
    <t>JH08154904</t>
  </si>
  <si>
    <t>JH08373846</t>
  </si>
  <si>
    <t>JH15465693</t>
  </si>
  <si>
    <t>JH01113519</t>
  </si>
  <si>
    <t>JH15658247</t>
  </si>
  <si>
    <t>JH55561174</t>
  </si>
  <si>
    <t>JH14559823</t>
  </si>
  <si>
    <t>JH84997129</t>
  </si>
  <si>
    <t>JH34989138</t>
  </si>
  <si>
    <t>JH84995199</t>
  </si>
  <si>
    <t>JH34292293</t>
  </si>
  <si>
    <t>JH30973786</t>
  </si>
  <si>
    <t>JH23863702</t>
  </si>
  <si>
    <t>JH76609135</t>
  </si>
  <si>
    <t>JH78989825</t>
  </si>
  <si>
    <t>JH38967567</t>
  </si>
  <si>
    <t>JH44859433</t>
  </si>
  <si>
    <t>JH75643890</t>
  </si>
  <si>
    <t>JH53672447</t>
  </si>
  <si>
    <t>JH63026347</t>
  </si>
  <si>
    <t>JH28885394</t>
  </si>
  <si>
    <t>JH41411226</t>
  </si>
  <si>
    <t>JH48632347</t>
  </si>
  <si>
    <t>JH15674223</t>
  </si>
  <si>
    <t>JH43902805</t>
  </si>
  <si>
    <t>JH36206579</t>
  </si>
  <si>
    <t>JH91494273</t>
  </si>
  <si>
    <t>JH01318208</t>
  </si>
  <si>
    <t>JH82632686</t>
  </si>
  <si>
    <t>JH93140418</t>
  </si>
  <si>
    <t>JH29184283</t>
  </si>
  <si>
    <t>JH69211513</t>
  </si>
  <si>
    <t>JH85121459</t>
  </si>
  <si>
    <t>JH25948432</t>
  </si>
  <si>
    <t>JH49236493</t>
  </si>
  <si>
    <t>JH22227805</t>
  </si>
  <si>
    <t>JH79141132</t>
  </si>
  <si>
    <t>JH65488010</t>
  </si>
  <si>
    <t>JH07689575</t>
  </si>
  <si>
    <t>JH77579130</t>
  </si>
  <si>
    <t>JH46299949</t>
  </si>
  <si>
    <t>JH99237311</t>
  </si>
  <si>
    <t>JH49347061</t>
  </si>
  <si>
    <t>JH29367733</t>
  </si>
  <si>
    <t>JH69442234</t>
  </si>
  <si>
    <t>JH54069296</t>
  </si>
  <si>
    <t>JH05928330</t>
  </si>
  <si>
    <t>JH99467849</t>
  </si>
  <si>
    <t>JH33083044</t>
  </si>
  <si>
    <t>JH39041583</t>
  </si>
  <si>
    <t>JH22417572</t>
  </si>
  <si>
    <t>JH26094407</t>
  </si>
  <si>
    <t>JH07366370</t>
  </si>
  <si>
    <t>JH75418174</t>
  </si>
  <si>
    <t>JH49014360</t>
  </si>
  <si>
    <t>JH89628774</t>
  </si>
  <si>
    <t>JH09666625</t>
  </si>
  <si>
    <t>JH29673749</t>
  </si>
  <si>
    <t>JH71480018</t>
  </si>
  <si>
    <t>JH81667430</t>
  </si>
  <si>
    <t>JH73989000</t>
  </si>
  <si>
    <t>General</t>
  </si>
  <si>
    <t>had an IABP placed on 2/25 and removed prior to impella</t>
  </si>
  <si>
    <t>patient had runs of NSVT and runs of VT/VF cardiac arrest after impella. He also had an LVAD placed and eventually received a transplant</t>
  </si>
  <si>
    <t>patient had a PEA in the cath lab and asystole</t>
  </si>
  <si>
    <t>pt was removed off support (ECMO, impella, placed on comfort care)</t>
  </si>
  <si>
    <t>initial impella placement on 8/10 resulted in RV failure, so pt got a VA ECMO on 8/10, and impella was placed on 8/12 + ECMO reconfiguration on 8/12</t>
  </si>
  <si>
    <t>ecpella on 2/1/24</t>
  </si>
  <si>
    <t>on IABP which was removed prior to impella placement, needed ECMO and impella post transplant</t>
  </si>
  <si>
    <t>pt received IABP on 4/13/24</t>
  </si>
  <si>
    <t>pt was on IABP prior to impella, severely reduced RV funxn</t>
  </si>
  <si>
    <t>Renal failure off of Impella</t>
  </si>
  <si>
    <t>on IABP prior to impella</t>
  </si>
  <si>
    <t>had first impella insertion on 7/19, but coded after and impella was removed on 8/23 and then impella+IABP were placed on 9/20</t>
  </si>
  <si>
    <t>had IABP prior to impella</t>
  </si>
  <si>
    <t>also had IABP</t>
  </si>
  <si>
    <t xml:space="preserve">on IABP prior to impella </t>
  </si>
  <si>
    <t>required IABP prior to impella</t>
  </si>
  <si>
    <t>Tried weaning dobut/worsening PAPI, doubled DBA</t>
  </si>
  <si>
    <t>has RHC 9 days before impella w/ waveform</t>
  </si>
  <si>
    <t>has RHC 8 days prior to impella w/ waveform</t>
  </si>
  <si>
    <t>has RHC 2 days prior to impella w/ waveform</t>
  </si>
  <si>
    <t>has RHC 10 days prior to impella w/ waveform</t>
  </si>
  <si>
    <t>got RHC 10 days prior to impella w/ waveform</t>
  </si>
  <si>
    <t>had RHC 3 days prior to impella w/ waveform</t>
  </si>
  <si>
    <t>had RHC 2 days prior to impella w/ waveform</t>
  </si>
  <si>
    <t>had RHC 6 days prior to impella w/ waveforms</t>
  </si>
  <si>
    <t>had RHC 1 day prior to impella w/ waveform</t>
  </si>
  <si>
    <t>had RHC 8 days prior to impella w/ waveform</t>
  </si>
  <si>
    <t>has RHC 4 days prior to impella w/ waveform</t>
  </si>
  <si>
    <t>First Name</t>
  </si>
  <si>
    <t>Neal</t>
  </si>
  <si>
    <t>Bryan</t>
  </si>
  <si>
    <t>Malik</t>
  </si>
  <si>
    <t>Marc</t>
  </si>
  <si>
    <t>Victoria</t>
  </si>
  <si>
    <t>Renee</t>
  </si>
  <si>
    <t>James</t>
  </si>
  <si>
    <t>Burnell</t>
  </si>
  <si>
    <t>Eben</t>
  </si>
  <si>
    <t>Joseph</t>
  </si>
  <si>
    <t>Gerald</t>
  </si>
  <si>
    <t>Kogilamba</t>
  </si>
  <si>
    <t>Suzanne</t>
  </si>
  <si>
    <t>Johnnie</t>
  </si>
  <si>
    <t>Nelson</t>
  </si>
  <si>
    <t>Emmanuel</t>
  </si>
  <si>
    <t>Albert</t>
  </si>
  <si>
    <t>Wanda</t>
  </si>
  <si>
    <t>Vakell</t>
  </si>
  <si>
    <t>Charles</t>
  </si>
  <si>
    <t xml:space="preserve">Constadino </t>
  </si>
  <si>
    <t>Michelle</t>
  </si>
  <si>
    <t>Timothy</t>
  </si>
  <si>
    <t>Li</t>
  </si>
  <si>
    <t>Majid</t>
  </si>
  <si>
    <t>Edmund</t>
  </si>
  <si>
    <t>Rene</t>
  </si>
  <si>
    <t>Ellen</t>
  </si>
  <si>
    <t>Robert</t>
  </si>
  <si>
    <t>Regina</t>
  </si>
  <si>
    <t xml:space="preserve">Richard </t>
  </si>
  <si>
    <t>Ralph</t>
  </si>
  <si>
    <t>Saroj</t>
  </si>
  <si>
    <t>Richard</t>
  </si>
  <si>
    <t>Sergey</t>
  </si>
  <si>
    <t>Jun</t>
  </si>
  <si>
    <t>Allen</t>
  </si>
  <si>
    <t>Jesse</t>
  </si>
  <si>
    <t>Stanley</t>
  </si>
  <si>
    <t>Lakeya</t>
  </si>
  <si>
    <t>John</t>
  </si>
  <si>
    <t>Thomas</t>
  </si>
  <si>
    <t>Lisa</t>
  </si>
  <si>
    <t>David</t>
  </si>
  <si>
    <t>Gharam</t>
  </si>
  <si>
    <t>Abdulwasa</t>
  </si>
  <si>
    <t>Dianna</t>
  </si>
  <si>
    <t>Christopher</t>
  </si>
  <si>
    <t>Jaime</t>
  </si>
  <si>
    <t>Lian</t>
  </si>
  <si>
    <t>Jachin</t>
  </si>
  <si>
    <t>Phillip</t>
  </si>
  <si>
    <t>Angel</t>
  </si>
  <si>
    <t>Michael</t>
  </si>
  <si>
    <t>Randolph</t>
  </si>
  <si>
    <t>Sanjay</t>
  </si>
  <si>
    <t>Henry</t>
  </si>
  <si>
    <t>Reno</t>
  </si>
  <si>
    <t>Brad</t>
  </si>
  <si>
    <t>Last Name</t>
  </si>
  <si>
    <t>Carlton</t>
  </si>
  <si>
    <t>Jones</t>
  </si>
  <si>
    <t>Burns</t>
  </si>
  <si>
    <t>Hester</t>
  </si>
  <si>
    <t>Short</t>
  </si>
  <si>
    <t>Wheat</t>
  </si>
  <si>
    <t>Williams</t>
  </si>
  <si>
    <t>Lippy</t>
  </si>
  <si>
    <t>Mulder</t>
  </si>
  <si>
    <t>Kelly</t>
  </si>
  <si>
    <t>Gaboury</t>
  </si>
  <si>
    <t>Reddy</t>
  </si>
  <si>
    <t xml:space="preserve">Heisler </t>
  </si>
  <si>
    <t>Cornish</t>
  </si>
  <si>
    <t>Garcia</t>
  </si>
  <si>
    <t>Francois</t>
  </si>
  <si>
    <t>King</t>
  </si>
  <si>
    <t>Young</t>
  </si>
  <si>
    <t>Lorden</t>
  </si>
  <si>
    <t>Dorsey</t>
  </si>
  <si>
    <t>Giannaris</t>
  </si>
  <si>
    <t>Beasley-Peters</t>
  </si>
  <si>
    <t>Millbourne</t>
  </si>
  <si>
    <t>Wright</t>
  </si>
  <si>
    <t>Brathwaite</t>
  </si>
  <si>
    <t>Ahmadi</t>
  </si>
  <si>
    <t>Lake</t>
  </si>
  <si>
    <t>Sims</t>
  </si>
  <si>
    <t>Talles</t>
  </si>
  <si>
    <t>Gordon</t>
  </si>
  <si>
    <t>Ford</t>
  </si>
  <si>
    <t>Green</t>
  </si>
  <si>
    <t>Crowder</t>
  </si>
  <si>
    <t>Nepal</t>
  </si>
  <si>
    <t>Makhlyagin</t>
  </si>
  <si>
    <t>Liu</t>
  </si>
  <si>
    <t>Dawkins</t>
  </si>
  <si>
    <t>Middleton</t>
  </si>
  <si>
    <t>McClellan</t>
  </si>
  <si>
    <t>Kent</t>
  </si>
  <si>
    <t>Dowding</t>
  </si>
  <si>
    <t>Vaccaro</t>
  </si>
  <si>
    <t>Robinson</t>
  </si>
  <si>
    <t>Runner</t>
  </si>
  <si>
    <t>Hartdagen</t>
  </si>
  <si>
    <t>Kalifa</t>
  </si>
  <si>
    <t>Abozaid</t>
  </si>
  <si>
    <t>White</t>
  </si>
  <si>
    <t>Greene</t>
  </si>
  <si>
    <t>Olavarria</t>
  </si>
  <si>
    <t>Thang</t>
  </si>
  <si>
    <t>Whitehurst</t>
  </si>
  <si>
    <t>Bonner</t>
  </si>
  <si>
    <t>Beaucage</t>
  </si>
  <si>
    <t>Stockdale</t>
  </si>
  <si>
    <t>Jimenez</t>
  </si>
  <si>
    <t>Pledger</t>
  </si>
  <si>
    <t>Whitaker</t>
  </si>
  <si>
    <t>Austin</t>
  </si>
  <si>
    <t>Sharma</t>
  </si>
  <si>
    <t>Kay</t>
  </si>
  <si>
    <t>Watts</t>
  </si>
  <si>
    <t>Hill</t>
  </si>
  <si>
    <t xml:space="preserve">MRN </t>
  </si>
  <si>
    <t>JH31693361</t>
  </si>
  <si>
    <t>Date of Implant</t>
  </si>
  <si>
    <t>Age</t>
  </si>
  <si>
    <t>Weight (kg)</t>
  </si>
  <si>
    <t xml:space="preserve">Height (cm) </t>
  </si>
  <si>
    <t xml:space="preserve">Gender </t>
  </si>
  <si>
    <t>Race</t>
  </si>
  <si>
    <t xml:space="preserve">2 and 6 </t>
  </si>
  <si>
    <t>Cause of Shock</t>
  </si>
  <si>
    <r>
      <rPr>
        <rFont val="Aptos Narrow"/>
        <color rgb="FF000000"/>
        <sz val="11.0"/>
      </rPr>
      <t xml:space="preserve">SCAI Stage
</t>
    </r>
    <r>
      <rPr>
        <rFont val="Aptos Narrow"/>
        <b/>
        <color rgb="FF000000"/>
        <sz val="11.0"/>
      </rPr>
      <t>at time of Impella</t>
    </r>
  </si>
  <si>
    <t>Days between RHC
and Impella</t>
  </si>
  <si>
    <t>Index RHC Data (before impella)</t>
  </si>
  <si>
    <t>RA Pressure (mmHg)</t>
  </si>
  <si>
    <t>RVSP (mmHg)</t>
  </si>
  <si>
    <t>N/A</t>
  </si>
  <si>
    <t>RVDP (mmHg)</t>
  </si>
  <si>
    <t>PASP (mmHg)</t>
  </si>
  <si>
    <t>PADP (mmHg)</t>
  </si>
  <si>
    <t>mPAP (mmHg)</t>
  </si>
  <si>
    <t>PCWP (mmHg)</t>
  </si>
  <si>
    <t>PVR</t>
  </si>
  <si>
    <t>SBP (mmHg)</t>
  </si>
  <si>
    <t>DBP (mmHg)</t>
  </si>
  <si>
    <t>MAP (mmHg)</t>
  </si>
  <si>
    <t>HR (bpm)</t>
  </si>
  <si>
    <t>TDCO (L/min)</t>
  </si>
  <si>
    <t>SV</t>
  </si>
  <si>
    <t>PA O2 sat</t>
  </si>
  <si>
    <t>Sp O2 sat</t>
  </si>
  <si>
    <t>PAPI</t>
  </si>
  <si>
    <t>CPO</t>
  </si>
  <si>
    <t>RV-CPO</t>
  </si>
  <si>
    <t>Impella Supported RHC
(48h post)</t>
  </si>
  <si>
    <t>can't see RHC data in flow sheet</t>
  </si>
  <si>
    <t>impella duration: 9/9/2022-10/27/2022</t>
  </si>
  <si>
    <t>impella duration: 12/28/22-1/15/23</t>
  </si>
  <si>
    <t>8/14/23 (2 days post second impella placement)</t>
  </si>
  <si>
    <t>Pt had no hemos for several days post impella in flowsheet, grabbed the RHC values 6 days after impella</t>
  </si>
  <si>
    <t>pt had no hemos until 12 days post impella (1/24/24)</t>
  </si>
  <si>
    <t>No Swann left in and no RHC measurements for days after impella</t>
  </si>
  <si>
    <t xml:space="preserve">pt has no hemo values for days after impella </t>
  </si>
  <si>
    <t>no values 48 hrs post impella, but values 5 days after impella</t>
  </si>
  <si>
    <t>unfortunately no 48 hrs post impella</t>
  </si>
  <si>
    <t>didn't have any swan values 48 hrs, so grabbed 24 hrs post impella</t>
  </si>
  <si>
    <t xml:space="preserve">N/A </t>
  </si>
  <si>
    <t>Echo  (Pre-Impella) list EF here</t>
  </si>
  <si>
    <t>dilated rVOT, severely hypokinetic systolic wall thickening of upper mid and distal RV free wall segemnts, severely dec systolic funxn</t>
  </si>
  <si>
    <t>Small RV. Severely reduced  
 RV systolic. poor visualization of RV free wall</t>
  </si>
  <si>
    <t>severe pulm htn + severely dec RV systolic funxn</t>
  </si>
  <si>
    <t>severe global hypokinesis of RV</t>
  </si>
  <si>
    <t>normal RV systolic funxn pre-impella</t>
  </si>
  <si>
    <t>mod global hypokinesis of RV</t>
  </si>
  <si>
    <t>severe pulm HTN</t>
  </si>
  <si>
    <t>mod dilated RV, normal RVSP funxn, mod-sev Pulm HTN, severe biatrial dilation</t>
  </si>
  <si>
    <t>mod dilated RV, mod-severe global hypokinesis of RV</t>
  </si>
  <si>
    <t>mod reduced RV funxn</t>
  </si>
  <si>
    <t>severely impaired RV global systolic funxn</t>
  </si>
  <si>
    <t>severely dilated RV, mod to sev dec RV systolic funxn</t>
  </si>
  <si>
    <t>10-15%</t>
  </si>
  <si>
    <t>20-25%</t>
  </si>
  <si>
    <t>15-20%</t>
  </si>
  <si>
    <t>30-35%</t>
  </si>
  <si>
    <t>5-10%</t>
  </si>
  <si>
    <t xml:space="preserve">Echo Timing </t>
  </si>
  <si>
    <t>RVEDD (cm)</t>
  </si>
  <si>
    <t>N//A</t>
  </si>
  <si>
    <t>TAPSE (cm)</t>
  </si>
  <si>
    <t>RV S' (cm/s)</t>
  </si>
  <si>
    <t>RV FS%</t>
  </si>
  <si>
    <t>N/NA</t>
  </si>
  <si>
    <t>TR Severity (m/s)</t>
  </si>
  <si>
    <t>LVEDd (cm)</t>
  </si>
  <si>
    <t>Septal Flattening</t>
  </si>
  <si>
    <t>Atrial Septal Bowing</t>
  </si>
  <si>
    <t>Echo  (Post-Impella) EF here</t>
  </si>
  <si>
    <t>mild-mod RV function</t>
  </si>
  <si>
    <t>mod dec RV Sys funxn</t>
  </si>
  <si>
    <t>severely reduced</t>
  </si>
  <si>
    <t>"inadequate"</t>
  </si>
  <si>
    <t xml:space="preserve">Labs at RHC </t>
  </si>
  <si>
    <t>Sodium</t>
  </si>
  <si>
    <t>Potassium</t>
  </si>
  <si>
    <t xml:space="preserve">HCO3 </t>
  </si>
  <si>
    <t xml:space="preserve">Creatinine </t>
  </si>
  <si>
    <t xml:space="preserve">eGFR </t>
  </si>
  <si>
    <t>Hemoglobin</t>
  </si>
  <si>
    <t xml:space="preserve">WBC </t>
  </si>
  <si>
    <t>AST</t>
  </si>
  <si>
    <t xml:space="preserve">ALT </t>
  </si>
  <si>
    <t xml:space="preserve">Total Bilirubin </t>
  </si>
  <si>
    <t xml:space="preserve">Lactate </t>
  </si>
  <si>
    <t xml:space="preserve">pH </t>
  </si>
  <si>
    <t xml:space="preserve">Labs 48h after Impella   </t>
  </si>
  <si>
    <t>Inotropes at Impella
implant</t>
  </si>
  <si>
    <t>again used the 8/14 date (2nd try of the impella placement)</t>
  </si>
  <si>
    <t>Dopamine (μg/kg/min)</t>
  </si>
  <si>
    <t>Dobutamine (μg/kg/min)</t>
  </si>
  <si>
    <t>Epinephrine (μg/kg/min)</t>
  </si>
  <si>
    <t>Milrinone (μg/kg/min)</t>
  </si>
  <si>
    <t>Norepinephrine (μg/kg/min)</t>
  </si>
  <si>
    <t>Vasopressin (mU/kg/min)</t>
  </si>
  <si>
    <t>VIS Score</t>
  </si>
  <si>
    <t>Diuretic Requirements
(day prior to impella)</t>
  </si>
  <si>
    <t>Furosemide dose (mg/day)</t>
  </si>
  <si>
    <t>N/A (iHD)</t>
  </si>
  <si>
    <t xml:space="preserve">Augmentation </t>
  </si>
  <si>
    <t>Diuretic Requirements
(48 hours after implant)</t>
  </si>
  <si>
    <t>Impella</t>
  </si>
  <si>
    <t xml:space="preserve">Performance Level </t>
  </si>
  <si>
    <t>P7</t>
  </si>
  <si>
    <t>Flow (L/min)</t>
  </si>
  <si>
    <t>Outcomes</t>
  </si>
  <si>
    <t>had arrhythmias of several kinds (a fib/aflut requiring IABP, and SVT and VT</t>
  </si>
  <si>
    <t>polymorphix VT and ICD shock due to impella</t>
  </si>
  <si>
    <t>Pt had runs of VT on impella + VF arrest during impella placement</t>
  </si>
  <si>
    <t>pt had hemolysis on 2/13/24</t>
  </si>
  <si>
    <t>also had VT ablation on same day as LVAD op</t>
  </si>
  <si>
    <t>post transplant course c/b RV dysfunction and required ECMO AND PVR was initially prohibitive for transplant, but it improved on inotropes</t>
  </si>
  <si>
    <t>afib + multifocal pneumonia</t>
  </si>
  <si>
    <t xml:space="preserve">did undergo R MCA stroke and had L sided hemiplegia </t>
  </si>
  <si>
    <t xml:space="preserve">Renal Failure </t>
  </si>
  <si>
    <t>Already iHD</t>
  </si>
  <si>
    <t xml:space="preserve">Intubation </t>
  </si>
  <si>
    <t>None</t>
  </si>
  <si>
    <t xml:space="preserve">MCS Escalation </t>
  </si>
  <si>
    <t>Outcome</t>
  </si>
  <si>
    <t>2 and 3</t>
  </si>
  <si>
    <t>3 and 4</t>
  </si>
  <si>
    <t xml:space="preserve">Listed </t>
  </si>
  <si>
    <t>Single Beat PV Loop</t>
  </si>
  <si>
    <t>running into issues w/ Single Beat (index must not exceed 1260)</t>
  </si>
  <si>
    <t>having trouble doing 2nd deriv step w/ this waveform (index must not exceed 1220)</t>
  </si>
  <si>
    <t>having trouble doing 2nd deriv step w/ this waveform (index must not exceed 1860)</t>
  </si>
  <si>
    <t>no waveforms, even in printable external report</t>
  </si>
  <si>
    <t>unsure ab this single beat results, b/c img contained several PVCs (I think)</t>
  </si>
  <si>
    <t>no waveform images</t>
  </si>
  <si>
    <t xml:space="preserve">unforunately, no waveforms from index RHC available, but do have waveforms from 8/5/24 RHC </t>
  </si>
  <si>
    <t>sadly no waveform available</t>
  </si>
  <si>
    <t>index must not exceed 1700 error</t>
  </si>
  <si>
    <t>sadly no RV waveform available</t>
  </si>
  <si>
    <t>error running waveform - index cannot be above "1260"</t>
  </si>
  <si>
    <t>Ees and Ea &gt;2 ??</t>
  </si>
  <si>
    <t>Error Occurred: No closest index candidates found</t>
  </si>
  <si>
    <t>index exceeds the number of array elements. Index must not exceed 1460</t>
  </si>
  <si>
    <t>Ees</t>
  </si>
  <si>
    <t>Unfortunately</t>
  </si>
  <si>
    <t>Ea</t>
  </si>
  <si>
    <t>No waveforms</t>
  </si>
  <si>
    <t>Ees/Ea</t>
  </si>
  <si>
    <t>Recorded</t>
  </si>
  <si>
    <t>ESP</t>
  </si>
  <si>
    <t>EDP</t>
  </si>
  <si>
    <t>Pmax</t>
  </si>
  <si>
    <t>ESV</t>
  </si>
  <si>
    <t>EDV</t>
  </si>
  <si>
    <t>dP/dt max</t>
  </si>
  <si>
    <t>dP/dt min</t>
  </si>
  <si>
    <t>Unique Patient Identifier</t>
  </si>
  <si>
    <t>2a181f20</t>
  </si>
  <si>
    <t>7a6ed53a</t>
  </si>
  <si>
    <t>9f5c01e9</t>
  </si>
  <si>
    <t>71ae488a</t>
  </si>
  <si>
    <t>a32c1bef</t>
  </si>
  <si>
    <t>c3731bc7</t>
  </si>
  <si>
    <t>29df0507</t>
  </si>
  <si>
    <t>0b9ec286</t>
  </si>
  <si>
    <t>124b8081</t>
  </si>
  <si>
    <t>417e78b8</t>
  </si>
  <si>
    <t>9843ac48</t>
  </si>
  <si>
    <t>2cde7b36</t>
  </si>
  <si>
    <t>212a3ab8</t>
  </si>
  <si>
    <t>34414b21</t>
  </si>
  <si>
    <t>ee72d73a</t>
  </si>
  <si>
    <t>fc6899ba</t>
  </si>
  <si>
    <t>8168edb0</t>
  </si>
  <si>
    <t>71dae46e</t>
  </si>
  <si>
    <t>14c73545</t>
  </si>
  <si>
    <t>2cc11b07</t>
  </si>
  <si>
    <t>f5ae0d84</t>
  </si>
  <si>
    <t>f42b7683</t>
  </si>
  <si>
    <t>c58dc66b</t>
  </si>
  <si>
    <t>0d34debf</t>
  </si>
  <si>
    <t>216ec343</t>
  </si>
  <si>
    <t>f8b9f4b1</t>
  </si>
  <si>
    <t>74e22d05</t>
  </si>
  <si>
    <t>LfK5SG</t>
  </si>
  <si>
    <t>trJ132vY</t>
  </si>
  <si>
    <t>739fed59</t>
  </si>
  <si>
    <t>810044df</t>
  </si>
  <si>
    <t>b3d3af54</t>
  </si>
  <si>
    <t>6f4c7554</t>
  </si>
  <si>
    <t>93f85b53</t>
  </si>
  <si>
    <t>3572cdf4</t>
  </si>
  <si>
    <t>e61af5ee</t>
  </si>
  <si>
    <t>8c6946ca</t>
  </si>
  <si>
    <t>bfdd6c1f</t>
  </si>
  <si>
    <t>f0c6dd16</t>
  </si>
  <si>
    <t>d5c749d6</t>
  </si>
  <si>
    <t>71e86fc4</t>
  </si>
  <si>
    <t>63cdb277</t>
  </si>
  <si>
    <t>e3af1d00</t>
  </si>
  <si>
    <t>470d05f4</t>
  </si>
  <si>
    <t>f3a12482</t>
  </si>
  <si>
    <t>d790346f</t>
  </si>
  <si>
    <t>dbf63f6d</t>
  </si>
  <si>
    <t>1687d195</t>
  </si>
  <si>
    <t>a59262d5</t>
  </si>
  <si>
    <t>f7b02806</t>
  </si>
  <si>
    <t>d781284e</t>
  </si>
  <si>
    <t>6a6150b7</t>
  </si>
  <si>
    <t>b89269ee</t>
  </si>
  <si>
    <t>454f8d83</t>
  </si>
  <si>
    <t xml:space="preserve">Goal of the study: </t>
  </si>
  <si>
    <t>Overall, looking to identify features on right heart catheterization data that
are associated with the development of RV dysfunction in the setting of left-sided ventricular
support i.e Impella.</t>
  </si>
  <si>
    <t>Age at impella placement (encounters -&gt; date of impella placement -&gt; anesthesia summary)</t>
  </si>
  <si>
    <t>Weight at impella placement (encounters -&gt; date of impella placement -&gt; anesthesia summary)</t>
  </si>
  <si>
    <t>Height (cm)</t>
  </si>
  <si>
    <t>Height at impella placement (encounters -&gt; date of impella placement -&gt; anesthesia summary)</t>
  </si>
  <si>
    <t xml:space="preserve">1 = Male, 2 = Female </t>
  </si>
  <si>
    <t>1 = Africa American, 2 = Asian, 3 = White, 4 = Pacific Islander, 
5 = American Indian, 6 = Other</t>
  </si>
  <si>
    <t>AMI = 1, Cardiomyopathy = 2, Arrhythmia = 3, Valvular = 4. Can be
most quickly determined from admission H&amp;P attending attestation</t>
  </si>
  <si>
    <t>SCAI Stage
at time of Impella</t>
  </si>
  <si>
    <t xml:space="preserve">B =1, C =2, D =3, E =4
Drugs: Norepinephrine, Epinephrine, Vasopressin, Dobutamine,
Milrinone, Nitroglycerine, Nitroprusside, Dopamine
Use chart on right to help delineate. Coming back to this after data input is a good idea, you'll have a much better sense </t>
  </si>
  <si>
    <t>Already completed in other tab. If N/A, means there was no RHC
done in the JHH cath lab so will not be included. Will collect data up to 2 weeks in advance but likely only include &lt;1 week in analysis.</t>
  </si>
  <si>
    <t>Index RHC Data</t>
  </si>
  <si>
    <t>Go to Chart Review --&gt; Cardiology --&gt; CV Catheterization, Heart, Right. Pick the first documented RHC during the hospitalization where Impella is placed. All of the variables below can be found in the finalized report, don't need to review waveforms etc.</t>
  </si>
  <si>
    <t xml:space="preserve">Cardiac output (thermodilution) </t>
  </si>
  <si>
    <t>Oximetry Data</t>
  </si>
  <si>
    <t>RHC Oximetry Data</t>
  </si>
  <si>
    <t xml:space="preserve">PAPI </t>
  </si>
  <si>
    <t>Auto populate from data above</t>
  </si>
  <si>
    <r>
      <rPr>
        <rFont val="Aptos Narrow"/>
        <color rgb="FF000000"/>
        <sz val="11.0"/>
      </rPr>
      <t xml:space="preserve">Most individuals will have leave in swans (meaning that the catheter stays in their neck) with ongoing measurements in the CCU. To find these, go to Summary --&gt; Flowsheet --&gt; Top left click on the date and enter the date that corresponds to </t>
    </r>
    <r>
      <rPr>
        <rFont val="Aptos Narrow"/>
        <b/>
        <color rgb="FF000000"/>
        <sz val="11.0"/>
      </rPr>
      <t>48 hours after RHC placement</t>
    </r>
    <r>
      <rPr>
        <rFont val="Aptos Narrow"/>
        <color rgb="FF000000"/>
        <sz val="11.0"/>
      </rPr>
      <t>. Once there, click top right on '4h'. Scroll down to find the hemodynamics tab which lists out swan measurements.</t>
    </r>
    <r>
      <rPr>
        <rFont val="Aptos Narrow"/>
        <b/>
        <color rgb="FF000000"/>
        <sz val="11.0"/>
      </rPr>
      <t xml:space="preserve"> Also can go to encounters -&gt; sort for admissions -&gt; right click admissions -&gt; edit/addend encounter -&gt; flowsheet</t>
    </r>
  </si>
  <si>
    <t xml:space="preserve">Labeled as CVP </t>
  </si>
  <si>
    <t>This will be under Labs --&gt; 'Gases - Mixed Venous' --&gt; Oxygen Saturation</t>
  </si>
  <si>
    <t>This will be under Labs --&gt; 'Gases - Arterial' --&gt; Oxygen Saturation OR in summary flowsheet with RT Other Assessmement Sectionn</t>
  </si>
  <si>
    <t>Echo  (Pre-Impella)</t>
  </si>
  <si>
    <t xml:space="preserve">Most recent echo prior to Impella placement. 0 = on day of implant, 1 = one day prior to implant, etc. </t>
  </si>
  <si>
    <t xml:space="preserve">RV End diastolic diameter. Scroll to the bottom of the echo report
and all metrics are listed there - called RV Basal Diastolic
Dimension  </t>
  </si>
  <si>
    <t xml:space="preserve">Tissue Doppler S' velocity </t>
  </si>
  <si>
    <t>Fractional shortening</t>
  </si>
  <si>
    <t>1 = Mild, 2 = Moderate, 3 = Severe, 4 = Torrential</t>
  </si>
  <si>
    <t xml:space="preserve">Pulmonary Artery Systolic Pressure </t>
  </si>
  <si>
    <t xml:space="preserve">LV End Diastolic Diameter </t>
  </si>
  <si>
    <t xml:space="preserve">0 = No, 1 = Yes </t>
  </si>
  <si>
    <t>Echo  (Post-Impella)</t>
  </si>
  <si>
    <t xml:space="preserve">Echo post-Impella placement. Typically this is a limited study to evaluate device positioning but some still comment on RV size/function/TR. 0 = day of implant, 1 = one day after implant, etc. </t>
  </si>
  <si>
    <t>Inotropes at Impella implant</t>
  </si>
  <si>
    <t xml:space="preserve">VIS will autopopulate </t>
  </si>
  <si>
    <t xml:space="preserve">Add up total amount of furosemide patient received </t>
  </si>
  <si>
    <t xml:space="preserve">Use of either chlorthalidone or metolazone. 0 = No, 1 = Yes </t>
  </si>
  <si>
    <t>2 to 9, 24-48 hrs post impella</t>
  </si>
  <si>
    <t>average values from that day</t>
  </si>
  <si>
    <t xml:space="preserve">Requiring dialysis (CRRT/iHD). 0 = No, 1 = Yes </t>
  </si>
  <si>
    <t xml:space="preserve">VA-ECMO, Protek Duo/RVAD. 0 = No, 1 = Yes </t>
  </si>
  <si>
    <t xml:space="preserve">1= Explant/Recovery, 2 = LVAD, 3 = Transplant, 4 = Deceased </t>
  </si>
  <si>
    <t>Chart Review -&gt; Cardiology -&gt; index RHC encounter -&gt; scroll down to "Printable Result Report" -&gt; Click on "View External Result Reprort" and scroll down until you see the hemodynamics waveform link</t>
  </si>
  <si>
    <t>Physician Name</t>
  </si>
  <si>
    <t>Indication for Use</t>
  </si>
  <si>
    <t>Duration of Support Time (Days)</t>
  </si>
  <si>
    <t xml:space="preserve">Age </t>
  </si>
  <si>
    <t>Gender</t>
  </si>
  <si>
    <t>MRN</t>
  </si>
  <si>
    <t>RHC prior to implant (&lt;72 hours)</t>
  </si>
  <si>
    <t>RHC timing (days prior)</t>
  </si>
  <si>
    <t>Absolute Value</t>
  </si>
  <si>
    <t>Ahmet Kilic</t>
  </si>
  <si>
    <t>Cardiomyopathy</t>
  </si>
  <si>
    <t>Survived</t>
  </si>
  <si>
    <t>Male</t>
  </si>
  <si>
    <t>No</t>
  </si>
  <si>
    <t>PCCS</t>
  </si>
  <si>
    <t>JH58334274</t>
  </si>
  <si>
    <t>Total Number of Patients with RHC within 3 days</t>
  </si>
  <si>
    <t>Yes</t>
  </si>
  <si>
    <t>JH64517351</t>
  </si>
  <si>
    <t>Total Number of Patients with RHC within 7 days</t>
  </si>
  <si>
    <t>AMI/CGS</t>
  </si>
  <si>
    <t>Expired</t>
  </si>
  <si>
    <t>JH98362864</t>
  </si>
  <si>
    <t>Female</t>
  </si>
  <si>
    <t>JH36734428</t>
  </si>
  <si>
    <t>Total Number of Patients with RHC within 14 days</t>
  </si>
  <si>
    <t>JH48370216</t>
  </si>
  <si>
    <t>Antonio Polanco</t>
  </si>
  <si>
    <t>JH28824563</t>
  </si>
  <si>
    <t>JH67263283</t>
  </si>
  <si>
    <t>JH98834903</t>
  </si>
  <si>
    <t>JH92030099</t>
  </si>
  <si>
    <t>JH33786773</t>
  </si>
  <si>
    <t>JH34979239</t>
  </si>
  <si>
    <t>Chetan Pasrija</t>
  </si>
  <si>
    <t>Hamza Aziz</t>
  </si>
  <si>
    <t>JH75721813</t>
  </si>
  <si>
    <t>JH98412906</t>
  </si>
  <si>
    <t>JH21637610</t>
  </si>
  <si>
    <t>HTx Rejection</t>
  </si>
  <si>
    <t>JH83335363</t>
  </si>
  <si>
    <t>JH21813295</t>
  </si>
  <si>
    <t>JH23290803</t>
  </si>
  <si>
    <t>JH99094716</t>
  </si>
  <si>
    <t>JH29098665</t>
  </si>
  <si>
    <t>JH59084397</t>
  </si>
  <si>
    <t>JH57187072</t>
  </si>
  <si>
    <t xml:space="preserve"> N/A</t>
  </si>
  <si>
    <t>JH34390224</t>
  </si>
  <si>
    <t>JH71412351</t>
  </si>
  <si>
    <t xml:space="preserve">Yes </t>
  </si>
  <si>
    <t>JH17131426</t>
  </si>
  <si>
    <t>JH16997987</t>
  </si>
  <si>
    <t>JH00919690</t>
  </si>
  <si>
    <t>JH98976667</t>
  </si>
  <si>
    <t>JH79057621</t>
  </si>
  <si>
    <t>JH07281495</t>
  </si>
  <si>
    <t>JH97532887</t>
  </si>
  <si>
    <t>JH58880363</t>
  </si>
  <si>
    <t>JH46263873</t>
  </si>
  <si>
    <t>JH68937801</t>
  </si>
  <si>
    <t>JH09320008</t>
  </si>
  <si>
    <t>JH84962476</t>
  </si>
  <si>
    <t>JH21387026</t>
  </si>
  <si>
    <t>JH97151153</t>
  </si>
  <si>
    <t>JH38529678</t>
  </si>
  <si>
    <t>JH92675366</t>
  </si>
  <si>
    <t>JH69109774</t>
  </si>
  <si>
    <t>JH74606862</t>
  </si>
  <si>
    <t>JH67513427</t>
  </si>
  <si>
    <t>JH41575141</t>
  </si>
  <si>
    <t>JH94132328</t>
  </si>
  <si>
    <t xml:space="preserve">No </t>
  </si>
  <si>
    <t>JH35004220</t>
  </si>
  <si>
    <t>JH26238358</t>
  </si>
  <si>
    <t>JH73925510</t>
  </si>
  <si>
    <t>JH81199411</t>
  </si>
  <si>
    <t>JH26089269</t>
  </si>
  <si>
    <t>JH58729233</t>
  </si>
  <si>
    <t>JH89465785</t>
  </si>
  <si>
    <t>JH99083683</t>
  </si>
  <si>
    <t>JH43081754</t>
  </si>
  <si>
    <t>JH87448013</t>
  </si>
  <si>
    <t>JH37021572</t>
  </si>
  <si>
    <t>JH89552506</t>
  </si>
  <si>
    <t>JH94230114</t>
  </si>
  <si>
    <t>-</t>
  </si>
  <si>
    <t>ecpella</t>
  </si>
  <si>
    <t>impella CP on 8/19, ECMO on 8/20, removed impella CP + placed impella 5.5 on 8/21</t>
  </si>
  <si>
    <t>Ecpella</t>
  </si>
  <si>
    <r>
      <rPr>
        <rFont val="Aptos Narrow"/>
        <color rgb="FF000000"/>
        <sz val="11.0"/>
      </rPr>
      <t xml:space="preserve">SCAI Stage
</t>
    </r>
    <r>
      <rPr>
        <rFont val="Aptos Narrow"/>
        <b/>
        <color rgb="FF000000"/>
        <sz val="11.0"/>
      </rPr>
      <t>at time of Impella</t>
    </r>
  </si>
  <si>
    <t>unable to access hemo waveform even via printable external report</t>
  </si>
  <si>
    <t>Unfortunately
No waveforms
Recorded</t>
  </si>
  <si>
    <t>Mean Ees</t>
  </si>
  <si>
    <t>Mean Ea</t>
  </si>
  <si>
    <t>Mean Ees/Ea</t>
  </si>
  <si>
    <t>Variable</t>
  </si>
  <si>
    <t>What the Variable represents</t>
  </si>
  <si>
    <t>How is it altered in Cardiogenic shock?</t>
  </si>
  <si>
    <t>How will Impella affect this variable?</t>
  </si>
  <si>
    <t>How might this variable be changed in RV dysfunction?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</si>
</sst>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800]dddd\,\ mmmm\ dd\,\ yyyy"/>
  </numFmts>
  <fonts count="16">
    <font>
      <sz val="11.0"/>
      <color rgb="FF000000"/>
      <name val="Calibri"/>
      <scheme val="minor"/>
    </font>
    <font>
      <sz val="11.0"/>
      <color rgb="FF000000"/>
      <name val="Aptos Narrow"/>
    </font>
    <font>
      <color theme="1"/>
      <name val="Calibri"/>
    </font>
    <font>
      <sz val="11.0"/>
      <color theme="1"/>
      <name val="Calibri"/>
    </font>
    <font>
      <b/>
      <sz val="14.0"/>
      <color rgb="FF000000"/>
      <name val="Aptos Narrow"/>
    </font>
    <font>
      <sz val="11.0"/>
      <color rgb="FF242424"/>
      <name val="Aptos Narrow"/>
    </font>
    <font>
      <b/>
      <sz val="14.0"/>
      <color theme="1"/>
      <name val="Calibri"/>
    </font>
    <font>
      <b/>
      <sz val="14.0"/>
      <color theme="1"/>
      <name val="Aptos Narrow"/>
    </font>
    <font>
      <sz val="11.0"/>
      <color theme="1"/>
      <name val="Aptos Narrow"/>
    </font>
    <font>
      <b/>
      <sz val="11.0"/>
      <color theme="1"/>
      <name val="Aptos Narrow"/>
    </font>
    <font>
      <sz val="12.0"/>
      <color rgb="FF222222"/>
      <name val="-Apple-System"/>
    </font>
    <font>
      <sz val="11.0"/>
      <color rgb="FF000000"/>
      <name val="Consolas"/>
    </font>
    <font>
      <b/>
      <sz val="11.0"/>
      <color rgb="FF000000"/>
      <name val="Aptos Narrow"/>
    </font>
    <font>
      <sz val="9.0"/>
      <color rgb="FF000000"/>
      <name val="Johnson Text Light"/>
    </font>
    <font>
      <sz val="11.0"/>
      <color theme="1"/>
      <name val="Johnson Text Light"/>
    </font>
    <font>
      <b/>
      <sz val="11.0"/>
      <color theme="1"/>
      <name val="Johnson Text Light"/>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4" numFmtId="0" xfId="0" applyFont="1"/>
    <xf borderId="0" fillId="0" fontId="1" numFmtId="0" xfId="0" applyAlignment="1" applyFont="1">
      <alignment shrinkToFit="0" wrapText="1"/>
    </xf>
    <xf borderId="0" fillId="0" fontId="3" numFmtId="0" xfId="0" applyAlignment="1" applyFont="1">
      <alignment shrinkToFit="0" wrapText="1"/>
    </xf>
    <xf borderId="0" fillId="0" fontId="5" numFmtId="0" xfId="0" applyFont="1"/>
    <xf borderId="0" fillId="0" fontId="1" numFmtId="14" xfId="0" applyFont="1" applyNumberFormat="1"/>
    <xf borderId="0" fillId="0" fontId="3" numFmtId="14" xfId="0" applyFont="1" applyNumberFormat="1"/>
    <xf borderId="1" fillId="3" fontId="1" numFmtId="0" xfId="0" applyBorder="1" applyFill="1" applyFont="1"/>
    <xf borderId="0" fillId="0" fontId="3" numFmtId="0" xfId="0" applyFont="1"/>
    <xf borderId="0" fillId="0" fontId="6" numFmtId="0" xfId="0" applyAlignment="1" applyFont="1">
      <alignment shrinkToFit="0" wrapText="1"/>
    </xf>
    <xf borderId="0" fillId="0" fontId="3" numFmtId="9" xfId="0" applyFont="1" applyNumberFormat="1"/>
    <xf borderId="0" fillId="0" fontId="1" numFmtId="2" xfId="0" applyFont="1" applyNumberFormat="1"/>
    <xf borderId="1" fillId="2" fontId="1" numFmtId="0" xfId="0" applyBorder="1" applyFont="1"/>
    <xf borderId="0" fillId="0" fontId="3" numFmtId="2" xfId="0" applyFont="1" applyNumberFormat="1"/>
    <xf borderId="0" fillId="0" fontId="4" numFmtId="0" xfId="0" applyAlignment="1" applyFont="1">
      <alignment shrinkToFit="0" wrapText="1"/>
    </xf>
    <xf borderId="0" fillId="0" fontId="7" numFmtId="0" xfId="0" applyFont="1"/>
    <xf borderId="0" fillId="0" fontId="8" numFmtId="0" xfId="0" applyFont="1"/>
    <xf borderId="0" fillId="0" fontId="9" numFmtId="0" xfId="0" applyFont="1"/>
    <xf borderId="0" fillId="0" fontId="3" numFmtId="11" xfId="0" applyFont="1" applyNumberFormat="1"/>
    <xf borderId="0" fillId="0" fontId="10" numFmtId="0" xfId="0" applyFont="1"/>
    <xf borderId="0" fillId="0" fontId="11" numFmtId="0" xfId="0" applyFont="1"/>
    <xf borderId="0" fillId="0" fontId="12" numFmtId="0" xfId="0" applyFont="1"/>
    <xf borderId="0" fillId="0" fontId="6" numFmtId="0" xfId="0" applyFont="1"/>
    <xf borderId="0" fillId="0" fontId="13" numFmtId="0" xfId="0" applyFont="1"/>
    <xf borderId="0" fillId="0" fontId="14" numFmtId="0" xfId="0" applyFont="1"/>
    <xf borderId="0" fillId="0" fontId="15" numFmtId="0" xfId="0" applyFont="1"/>
    <xf quotePrefix="1" borderId="0" fillId="0" fontId="13" numFmtId="0" xfId="0" applyFont="1"/>
    <xf borderId="1" fillId="4" fontId="1" numFmtId="0" xfId="0" applyBorder="1" applyFill="1" applyFont="1"/>
    <xf borderId="0" fillId="0" fontId="1" numFmtId="164" xfId="0" applyFont="1" applyNumberFormat="1"/>
    <xf borderId="1" fillId="3" fontId="3"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7</xdr:row>
      <xdr:rowOff>114300</xdr:rowOff>
    </xdr:from>
    <xdr:ext cx="5610225" cy="1181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6.29"/>
    <col customWidth="1" min="2" max="2" width="11.43"/>
    <col customWidth="1" min="3" max="18" width="11.86"/>
    <col customWidth="1" min="19" max="19" width="10.14"/>
    <col customWidth="1" min="20" max="20" width="12.14"/>
    <col customWidth="1" min="21" max="22" width="10.14"/>
    <col customWidth="1" min="23" max="23" width="11.43"/>
    <col customWidth="1" min="24" max="24" width="13.29"/>
    <col customWidth="1" min="25" max="25" width="10.14"/>
    <col customWidth="1" min="26" max="26" width="11.86"/>
    <col customWidth="1" min="27" max="27" width="11.14"/>
    <col customWidth="1" min="28" max="34" width="10.14"/>
    <col customWidth="1" min="35" max="35" width="11.71"/>
    <col customWidth="1" min="36" max="36" width="10.14"/>
    <col customWidth="1" min="37" max="37" width="11.57"/>
    <col customWidth="1" min="38" max="38" width="12.14"/>
    <col customWidth="1" min="39" max="39" width="11.14"/>
    <col customWidth="1" min="40" max="41" width="10.14"/>
    <col customWidth="1" min="42" max="43" width="11.14"/>
    <col customWidth="1" min="44" max="45" width="10.14"/>
    <col customWidth="1" min="46" max="46" width="8.71"/>
    <col customWidth="1" min="47" max="54" width="10.14"/>
    <col customWidth="1" min="55" max="63" width="10.43"/>
    <col customWidth="1" min="64" max="65" width="9.29"/>
    <col customWidth="1" min="66" max="66" width="10.43"/>
    <col customWidth="1" min="67" max="68" width="9.29"/>
  </cols>
  <sheetData>
    <row r="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0</v>
      </c>
      <c r="AI1" s="1" t="s">
        <v>32</v>
      </c>
      <c r="AJ1" s="1" t="s">
        <v>33</v>
      </c>
      <c r="AK1" s="1" t="s">
        <v>0</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2" t="s">
        <v>51</v>
      </c>
      <c r="BD1" s="2" t="s">
        <v>52</v>
      </c>
      <c r="BE1" s="2" t="s">
        <v>51</v>
      </c>
      <c r="BF1" s="3" t="s">
        <v>53</v>
      </c>
      <c r="BG1" s="2" t="s">
        <v>54</v>
      </c>
      <c r="BH1" s="2" t="s">
        <v>55</v>
      </c>
      <c r="BI1" s="3" t="s">
        <v>56</v>
      </c>
      <c r="BJ1" s="3" t="s">
        <v>57</v>
      </c>
      <c r="BK1" s="3" t="s">
        <v>58</v>
      </c>
      <c r="BL1" s="3" t="s">
        <v>59</v>
      </c>
      <c r="BM1" s="3" t="s">
        <v>60</v>
      </c>
      <c r="BN1" s="3" t="s">
        <v>61</v>
      </c>
      <c r="BO1" s="2" t="s">
        <v>62</v>
      </c>
      <c r="BP1" s="3" t="s">
        <v>63</v>
      </c>
    </row>
    <row r="2">
      <c r="A2" s="4" t="s">
        <v>64</v>
      </c>
      <c r="B2" s="5" t="s">
        <v>65</v>
      </c>
      <c r="C2" s="1"/>
      <c r="D2" s="1"/>
      <c r="E2" s="1"/>
      <c r="F2" s="1"/>
      <c r="H2" s="1"/>
      <c r="I2" s="1"/>
      <c r="J2" s="1"/>
      <c r="K2" s="6" t="s">
        <v>66</v>
      </c>
      <c r="L2" s="6" t="s">
        <v>67</v>
      </c>
      <c r="M2" s="5" t="s">
        <v>68</v>
      </c>
      <c r="N2" s="5" t="s">
        <v>69</v>
      </c>
      <c r="O2" s="1"/>
      <c r="P2" s="1"/>
      <c r="Q2" s="1"/>
      <c r="R2" s="1"/>
      <c r="S2" s="5" t="s">
        <v>70</v>
      </c>
      <c r="T2" s="1"/>
      <c r="U2" s="1"/>
      <c r="V2" s="1"/>
      <c r="W2" s="1"/>
      <c r="X2" s="5" t="s">
        <v>71</v>
      </c>
      <c r="Y2" s="1"/>
      <c r="Z2" s="1"/>
      <c r="AA2" s="5" t="s">
        <v>72</v>
      </c>
      <c r="AB2" s="5" t="s">
        <v>73</v>
      </c>
      <c r="AC2" s="1"/>
      <c r="AD2" s="1"/>
      <c r="AE2" s="1"/>
      <c r="AF2" s="1"/>
      <c r="AG2" s="1" t="s">
        <v>74</v>
      </c>
      <c r="AH2" s="1"/>
      <c r="AI2" s="1"/>
      <c r="AJ2" s="5" t="s">
        <v>75</v>
      </c>
      <c r="AK2" s="5" t="s">
        <v>76</v>
      </c>
      <c r="AL2" s="1"/>
      <c r="AM2" s="1"/>
      <c r="AN2" s="1"/>
      <c r="AO2" s="5" t="s">
        <v>77</v>
      </c>
      <c r="AP2" s="5" t="s">
        <v>78</v>
      </c>
      <c r="AQ2" s="1"/>
      <c r="AR2" s="1"/>
      <c r="AS2" s="5" t="s">
        <v>79</v>
      </c>
      <c r="AT2" s="1"/>
      <c r="AU2" s="1"/>
      <c r="AV2" s="5" t="s">
        <v>75</v>
      </c>
      <c r="AW2" s="1"/>
      <c r="AX2" s="1"/>
      <c r="AY2" s="1"/>
      <c r="AZ2" s="1"/>
      <c r="BA2" s="5" t="s">
        <v>77</v>
      </c>
      <c r="BB2" s="5" t="s">
        <v>80</v>
      </c>
      <c r="BC2" s="6" t="s">
        <v>81</v>
      </c>
      <c r="BD2" s="6" t="s">
        <v>82</v>
      </c>
      <c r="BE2" s="6" t="s">
        <v>83</v>
      </c>
      <c r="BF2" s="6" t="s">
        <v>84</v>
      </c>
      <c r="BG2" s="6" t="s">
        <v>85</v>
      </c>
      <c r="BH2" s="6" t="s">
        <v>86</v>
      </c>
      <c r="BI2" s="6" t="s">
        <v>87</v>
      </c>
      <c r="BJ2" s="6" t="s">
        <v>88</v>
      </c>
      <c r="BK2" s="6" t="s">
        <v>84</v>
      </c>
      <c r="BL2" s="6" t="s">
        <v>88</v>
      </c>
      <c r="BM2" s="6" t="s">
        <v>89</v>
      </c>
      <c r="BN2" s="6" t="s">
        <v>90</v>
      </c>
      <c r="BO2" s="6" t="s">
        <v>91</v>
      </c>
      <c r="BP2" s="6" t="s">
        <v>92</v>
      </c>
    </row>
    <row r="3">
      <c r="A3" s="1" t="s">
        <v>93</v>
      </c>
      <c r="B3" s="1" t="s">
        <v>94</v>
      </c>
      <c r="C3" s="1" t="s">
        <v>95</v>
      </c>
      <c r="D3" s="1" t="s">
        <v>96</v>
      </c>
      <c r="E3" s="1" t="s">
        <v>97</v>
      </c>
      <c r="F3" s="1" t="s">
        <v>98</v>
      </c>
      <c r="G3" s="1" t="s">
        <v>99</v>
      </c>
      <c r="H3" s="1" t="s">
        <v>100</v>
      </c>
      <c r="I3" s="1" t="s">
        <v>101</v>
      </c>
      <c r="J3" s="1" t="s">
        <v>102</v>
      </c>
      <c r="K3" s="1" t="s">
        <v>103</v>
      </c>
      <c r="L3" s="1" t="s">
        <v>104</v>
      </c>
      <c r="M3" s="1" t="s">
        <v>100</v>
      </c>
      <c r="N3" s="1" t="s">
        <v>105</v>
      </c>
      <c r="O3" s="1" t="s">
        <v>106</v>
      </c>
      <c r="P3" s="1" t="s">
        <v>107</v>
      </c>
      <c r="Q3" s="1" t="s">
        <v>108</v>
      </c>
      <c r="R3" s="1" t="s">
        <v>109</v>
      </c>
      <c r="S3" s="1" t="s">
        <v>110</v>
      </c>
      <c r="T3" s="1" t="s">
        <v>111</v>
      </c>
      <c r="U3" s="1" t="s">
        <v>112</v>
      </c>
      <c r="V3" s="1" t="s">
        <v>113</v>
      </c>
      <c r="W3" s="1" t="s">
        <v>114</v>
      </c>
      <c r="X3" s="1" t="s">
        <v>115</v>
      </c>
      <c r="Y3" s="1" t="s">
        <v>100</v>
      </c>
      <c r="Z3" s="1" t="s">
        <v>116</v>
      </c>
      <c r="AA3" s="1" t="s">
        <v>117</v>
      </c>
      <c r="AB3" s="1" t="s">
        <v>118</v>
      </c>
      <c r="AC3" s="1" t="s">
        <v>119</v>
      </c>
      <c r="AD3" s="1" t="s">
        <v>120</v>
      </c>
      <c r="AE3" s="1" t="s">
        <v>121</v>
      </c>
      <c r="AF3" s="1" t="s">
        <v>122</v>
      </c>
      <c r="AG3" s="1" t="s">
        <v>123</v>
      </c>
      <c r="AH3" s="1" t="s">
        <v>124</v>
      </c>
      <c r="AI3" s="1" t="s">
        <v>125</v>
      </c>
      <c r="AJ3" s="1" t="s">
        <v>126</v>
      </c>
      <c r="AK3" s="1" t="s">
        <v>127</v>
      </c>
      <c r="AL3" s="1" t="s">
        <v>128</v>
      </c>
      <c r="AM3" s="1" t="s">
        <v>129</v>
      </c>
      <c r="AN3" s="1" t="s">
        <v>130</v>
      </c>
      <c r="AO3" s="1" t="s">
        <v>131</v>
      </c>
      <c r="AP3" s="1" t="s">
        <v>132</v>
      </c>
      <c r="AQ3" s="1" t="s">
        <v>133</v>
      </c>
      <c r="AR3" s="1" t="s">
        <v>134</v>
      </c>
      <c r="AS3" s="1" t="s">
        <v>135</v>
      </c>
      <c r="AT3" s="1" t="s">
        <v>135</v>
      </c>
      <c r="AU3" s="1" t="s">
        <v>136</v>
      </c>
      <c r="AV3" s="1" t="s">
        <v>137</v>
      </c>
      <c r="AW3" s="1" t="s">
        <v>138</v>
      </c>
      <c r="AX3" s="1" t="s">
        <v>139</v>
      </c>
      <c r="AY3" s="1" t="s">
        <v>140</v>
      </c>
      <c r="AZ3" s="1" t="s">
        <v>141</v>
      </c>
      <c r="BA3" s="1" t="s">
        <v>142</v>
      </c>
      <c r="BB3" s="1" t="s">
        <v>143</v>
      </c>
      <c r="BC3" s="2" t="s">
        <v>137</v>
      </c>
      <c r="BD3" s="2" t="s">
        <v>144</v>
      </c>
      <c r="BE3" s="2" t="s">
        <v>137</v>
      </c>
      <c r="BF3" s="2" t="s">
        <v>100</v>
      </c>
      <c r="BG3" s="2" t="s">
        <v>145</v>
      </c>
      <c r="BH3" s="2" t="s">
        <v>134</v>
      </c>
      <c r="BI3" s="2" t="s">
        <v>146</v>
      </c>
      <c r="BJ3" s="2" t="s">
        <v>147</v>
      </c>
      <c r="BK3" s="2" t="s">
        <v>122</v>
      </c>
      <c r="BL3" s="2" t="s">
        <v>148</v>
      </c>
      <c r="BM3" s="2" t="s">
        <v>149</v>
      </c>
      <c r="BN3" s="2" t="s">
        <v>150</v>
      </c>
      <c r="BO3" s="2" t="s">
        <v>151</v>
      </c>
      <c r="BP3" s="2" t="s">
        <v>152</v>
      </c>
    </row>
    <row r="4">
      <c r="A4" s="1" t="s">
        <v>153</v>
      </c>
      <c r="B4" s="1" t="s">
        <v>154</v>
      </c>
      <c r="C4" s="1" t="s">
        <v>155</v>
      </c>
      <c r="D4" s="1" t="s">
        <v>156</v>
      </c>
      <c r="E4" s="1" t="s">
        <v>157</v>
      </c>
      <c r="F4" s="1" t="s">
        <v>158</v>
      </c>
      <c r="G4" s="1" t="s">
        <v>159</v>
      </c>
      <c r="H4" s="1" t="s">
        <v>160</v>
      </c>
      <c r="I4" s="1" t="s">
        <v>161</v>
      </c>
      <c r="J4" s="1" t="s">
        <v>162</v>
      </c>
      <c r="K4" s="1" t="s">
        <v>163</v>
      </c>
      <c r="L4" s="1" t="s">
        <v>164</v>
      </c>
      <c r="M4" s="1" t="s">
        <v>151</v>
      </c>
      <c r="N4" s="1" t="s">
        <v>165</v>
      </c>
      <c r="O4" s="1" t="s">
        <v>166</v>
      </c>
      <c r="P4" s="1" t="s">
        <v>167</v>
      </c>
      <c r="Q4" s="1" t="s">
        <v>168</v>
      </c>
      <c r="R4" s="1" t="s">
        <v>169</v>
      </c>
      <c r="S4" s="1" t="s">
        <v>170</v>
      </c>
      <c r="T4" s="1" t="s">
        <v>171</v>
      </c>
      <c r="U4" s="1" t="s">
        <v>172</v>
      </c>
      <c r="V4" s="1" t="s">
        <v>173</v>
      </c>
      <c r="W4" s="1" t="s">
        <v>174</v>
      </c>
      <c r="X4" s="1" t="s">
        <v>175</v>
      </c>
      <c r="Y4" s="1" t="s">
        <v>176</v>
      </c>
      <c r="Z4" s="1" t="s">
        <v>177</v>
      </c>
      <c r="AA4" s="1" t="s">
        <v>178</v>
      </c>
      <c r="AB4" s="1" t="s">
        <v>179</v>
      </c>
      <c r="AC4" s="1" t="s">
        <v>180</v>
      </c>
      <c r="AD4" s="1" t="s">
        <v>181</v>
      </c>
      <c r="AE4" s="1" t="s">
        <v>182</v>
      </c>
      <c r="AF4" s="1" t="s">
        <v>183</v>
      </c>
      <c r="AG4" s="1" t="s">
        <v>184</v>
      </c>
      <c r="AH4" s="1" t="s">
        <v>185</v>
      </c>
      <c r="AI4" s="1" t="s">
        <v>186</v>
      </c>
      <c r="AJ4" s="1" t="s">
        <v>187</v>
      </c>
      <c r="AK4" s="1" t="s">
        <v>185</v>
      </c>
      <c r="AL4" s="1" t="s">
        <v>188</v>
      </c>
      <c r="AM4" s="1" t="s">
        <v>189</v>
      </c>
      <c r="AN4" s="1" t="s">
        <v>190</v>
      </c>
      <c r="AO4" s="1" t="s">
        <v>191</v>
      </c>
      <c r="AP4" s="1" t="s">
        <v>192</v>
      </c>
      <c r="AQ4" s="1" t="s">
        <v>193</v>
      </c>
      <c r="AR4" s="1" t="s">
        <v>194</v>
      </c>
      <c r="AS4" s="1" t="s">
        <v>195</v>
      </c>
      <c r="AT4" s="1" t="s">
        <v>196</v>
      </c>
      <c r="AU4" s="1" t="s">
        <v>197</v>
      </c>
      <c r="AV4" s="1" t="s">
        <v>198</v>
      </c>
      <c r="AW4" s="1" t="s">
        <v>199</v>
      </c>
      <c r="AX4" s="1" t="s">
        <v>200</v>
      </c>
      <c r="AY4" s="1" t="s">
        <v>201</v>
      </c>
      <c r="AZ4" s="1" t="s">
        <v>202</v>
      </c>
      <c r="BA4" s="1" t="s">
        <v>203</v>
      </c>
      <c r="BB4" s="1" t="s">
        <v>204</v>
      </c>
      <c r="BC4" s="2" t="s">
        <v>201</v>
      </c>
      <c r="BD4" s="2" t="s">
        <v>205</v>
      </c>
      <c r="BE4" s="2" t="s">
        <v>201</v>
      </c>
      <c r="BF4" s="2" t="s">
        <v>206</v>
      </c>
      <c r="BG4" s="2" t="s">
        <v>207</v>
      </c>
      <c r="BH4" s="2" t="s">
        <v>208</v>
      </c>
      <c r="BI4" s="2" t="s">
        <v>209</v>
      </c>
      <c r="BJ4" s="2" t="s">
        <v>210</v>
      </c>
      <c r="BK4" s="2" t="s">
        <v>211</v>
      </c>
      <c r="BL4" s="2" t="s">
        <v>212</v>
      </c>
      <c r="BM4" s="2" t="s">
        <v>213</v>
      </c>
      <c r="BN4" s="2" t="s">
        <v>214</v>
      </c>
      <c r="BO4" s="2" t="s">
        <v>215</v>
      </c>
      <c r="BP4" s="2" t="s">
        <v>216</v>
      </c>
    </row>
    <row r="5">
      <c r="A5" s="1" t="s">
        <v>217</v>
      </c>
      <c r="B5" s="1" t="s">
        <v>218</v>
      </c>
      <c r="C5" s="1" t="s">
        <v>1</v>
      </c>
      <c r="D5" s="1" t="s">
        <v>2</v>
      </c>
      <c r="E5" s="1" t="s">
        <v>3</v>
      </c>
      <c r="F5" s="1" t="s">
        <v>4</v>
      </c>
      <c r="G5" s="1" t="s">
        <v>5</v>
      </c>
      <c r="H5" s="1" t="s">
        <v>6</v>
      </c>
      <c r="I5" s="1" t="s">
        <v>7</v>
      </c>
      <c r="J5" s="1" t="s">
        <v>8</v>
      </c>
      <c r="K5" s="1" t="s">
        <v>9</v>
      </c>
      <c r="L5" s="1" t="s">
        <v>10</v>
      </c>
      <c r="M5" s="1" t="s">
        <v>11</v>
      </c>
      <c r="N5" s="1" t="s">
        <v>12</v>
      </c>
      <c r="O5" s="1" t="s">
        <v>13</v>
      </c>
      <c r="P5" s="1" t="s">
        <v>14</v>
      </c>
      <c r="Q5" s="1" t="s">
        <v>15</v>
      </c>
      <c r="R5" s="1" t="s">
        <v>16</v>
      </c>
      <c r="S5" s="1" t="s">
        <v>17</v>
      </c>
      <c r="T5" s="1" t="s">
        <v>18</v>
      </c>
      <c r="U5" s="1" t="s">
        <v>19</v>
      </c>
      <c r="V5" s="1" t="s">
        <v>20</v>
      </c>
      <c r="W5" s="1" t="s">
        <v>21</v>
      </c>
      <c r="X5" s="1" t="s">
        <v>22</v>
      </c>
      <c r="Y5" s="1" t="s">
        <v>23</v>
      </c>
      <c r="Z5" s="1" t="s">
        <v>24</v>
      </c>
      <c r="AA5" s="1" t="s">
        <v>25</v>
      </c>
      <c r="AB5" s="1" t="s">
        <v>26</v>
      </c>
      <c r="AC5" s="1" t="s">
        <v>27</v>
      </c>
      <c r="AD5" s="1" t="s">
        <v>28</v>
      </c>
      <c r="AE5" s="1" t="s">
        <v>29</v>
      </c>
      <c r="AF5" s="1" t="s">
        <v>30</v>
      </c>
      <c r="AG5" s="1" t="s">
        <v>31</v>
      </c>
      <c r="AH5" s="1" t="s">
        <v>0</v>
      </c>
      <c r="AI5" s="1" t="s">
        <v>32</v>
      </c>
      <c r="AJ5" s="1" t="s">
        <v>33</v>
      </c>
      <c r="AK5" s="1" t="s">
        <v>0</v>
      </c>
      <c r="AL5" s="1" t="s">
        <v>34</v>
      </c>
      <c r="AM5" s="1" t="s">
        <v>35</v>
      </c>
      <c r="AN5" s="1" t="s">
        <v>36</v>
      </c>
      <c r="AO5" s="1" t="s">
        <v>37</v>
      </c>
      <c r="AP5" s="1" t="s">
        <v>38</v>
      </c>
      <c r="AQ5" s="1" t="s">
        <v>39</v>
      </c>
      <c r="AR5" s="1" t="s">
        <v>40</v>
      </c>
      <c r="AS5" s="1" t="s">
        <v>41</v>
      </c>
      <c r="AT5" s="1" t="s">
        <v>42</v>
      </c>
      <c r="AU5" s="1" t="s">
        <v>43</v>
      </c>
      <c r="AV5" s="1" t="s">
        <v>44</v>
      </c>
      <c r="AW5" s="1" t="s">
        <v>45</v>
      </c>
      <c r="AX5" s="1" t="s">
        <v>46</v>
      </c>
      <c r="AY5" s="1" t="s">
        <v>47</v>
      </c>
      <c r="AZ5" s="1" t="s">
        <v>48</v>
      </c>
      <c r="BA5" s="1" t="s">
        <v>49</v>
      </c>
      <c r="BB5" s="1" t="s">
        <v>50</v>
      </c>
      <c r="BC5" s="2" t="s">
        <v>51</v>
      </c>
      <c r="BD5" s="2" t="s">
        <v>52</v>
      </c>
      <c r="BE5" s="2" t="s">
        <v>51</v>
      </c>
      <c r="BF5" s="2" t="s">
        <v>53</v>
      </c>
      <c r="BG5" s="2" t="s">
        <v>54</v>
      </c>
      <c r="BH5" s="2" t="s">
        <v>55</v>
      </c>
      <c r="BI5" s="7" t="s">
        <v>56</v>
      </c>
      <c r="BJ5" s="7" t="s">
        <v>57</v>
      </c>
      <c r="BK5" s="7" t="s">
        <v>58</v>
      </c>
      <c r="BL5" s="7" t="s">
        <v>59</v>
      </c>
      <c r="BM5" s="7" t="s">
        <v>60</v>
      </c>
      <c r="BN5" s="7" t="s">
        <v>61</v>
      </c>
      <c r="BO5" s="7" t="s">
        <v>62</v>
      </c>
      <c r="BP5" s="7" t="s">
        <v>63</v>
      </c>
    </row>
    <row r="6">
      <c r="A6" s="2" t="s">
        <v>219</v>
      </c>
      <c r="B6" s="8">
        <v>44623.0</v>
      </c>
      <c r="C6" s="8">
        <v>44642.0</v>
      </c>
      <c r="D6" s="8">
        <v>44655.0</v>
      </c>
      <c r="E6" s="8">
        <v>44659.0</v>
      </c>
      <c r="F6" s="8">
        <v>44694.0</v>
      </c>
      <c r="G6" s="8">
        <v>44742.0</v>
      </c>
      <c r="H6" s="8">
        <v>44763.0</v>
      </c>
      <c r="I6" s="8">
        <v>44813.0</v>
      </c>
      <c r="J6" s="8">
        <v>44923.0</v>
      </c>
      <c r="K6" s="8">
        <v>44935.0</v>
      </c>
      <c r="L6" s="8">
        <v>45034.0</v>
      </c>
      <c r="M6" s="8">
        <v>45034.0</v>
      </c>
      <c r="N6" s="8">
        <v>45150.0</v>
      </c>
      <c r="O6" s="8">
        <v>45267.0</v>
      </c>
      <c r="P6" s="8">
        <v>45275.0</v>
      </c>
      <c r="Q6" s="8">
        <v>45296.0</v>
      </c>
      <c r="R6" s="8">
        <v>45303.0</v>
      </c>
      <c r="S6" s="8"/>
      <c r="T6" s="8">
        <v>45334.0</v>
      </c>
      <c r="U6" s="8">
        <v>45332.0</v>
      </c>
      <c r="V6" s="8">
        <v>45336.0</v>
      </c>
      <c r="W6" s="8">
        <v>45344.0</v>
      </c>
      <c r="X6" s="8">
        <v>45344.0</v>
      </c>
      <c r="Y6" s="8">
        <v>45345.0</v>
      </c>
      <c r="Z6" s="8">
        <v>45386.0</v>
      </c>
      <c r="AA6" s="8">
        <v>45399.0</v>
      </c>
      <c r="AB6" s="8">
        <v>45400.0</v>
      </c>
      <c r="AC6" s="8">
        <v>45411.0</v>
      </c>
      <c r="AD6" s="8">
        <v>45422.0</v>
      </c>
      <c r="AE6" s="8">
        <v>45433.0</v>
      </c>
      <c r="AF6" s="8">
        <v>45433.0</v>
      </c>
      <c r="AG6" s="8">
        <v>45459.0</v>
      </c>
      <c r="AH6" s="8">
        <v>45492.0</v>
      </c>
      <c r="AI6" s="8">
        <v>45519.0</v>
      </c>
      <c r="AJ6" s="8">
        <v>45520.0</v>
      </c>
      <c r="AK6" s="8">
        <v>45555.0</v>
      </c>
      <c r="AL6" s="8">
        <v>45571.0</v>
      </c>
      <c r="AM6" s="8">
        <v>45593.0</v>
      </c>
      <c r="AN6" s="8">
        <v>45601.0</v>
      </c>
      <c r="AO6" s="8">
        <v>45604.0</v>
      </c>
      <c r="AP6" s="8">
        <v>45614.0</v>
      </c>
      <c r="AQ6" s="8">
        <v>45625.0</v>
      </c>
      <c r="AR6" s="8">
        <v>45629.0</v>
      </c>
      <c r="AS6" s="8">
        <v>45680.0</v>
      </c>
      <c r="AT6" s="8">
        <v>45693.0</v>
      </c>
      <c r="AU6" s="8">
        <v>45714.0</v>
      </c>
      <c r="AV6" s="8">
        <v>45727.0</v>
      </c>
      <c r="AW6" s="8">
        <v>45727.0</v>
      </c>
      <c r="AX6" s="8">
        <v>45737.0</v>
      </c>
      <c r="AY6" s="8">
        <v>45803.0</v>
      </c>
      <c r="AZ6" s="8">
        <v>45819.0</v>
      </c>
      <c r="BA6" s="8">
        <v>45823.0</v>
      </c>
      <c r="BB6" s="8">
        <v>45827.0</v>
      </c>
      <c r="BC6" s="9">
        <v>46038.0</v>
      </c>
      <c r="BD6" s="9">
        <v>46036.0</v>
      </c>
      <c r="BE6" s="9">
        <v>46038.0</v>
      </c>
      <c r="BF6" s="9">
        <v>46050.0</v>
      </c>
      <c r="BG6" s="9">
        <v>46052.0</v>
      </c>
      <c r="BH6" s="9">
        <v>46072.0</v>
      </c>
      <c r="BI6" s="9">
        <v>46072.0</v>
      </c>
      <c r="BJ6" s="9">
        <v>46073.0</v>
      </c>
      <c r="BK6" s="9">
        <v>46073.0</v>
      </c>
      <c r="BL6" s="9">
        <v>46084.0</v>
      </c>
      <c r="BM6" s="9">
        <v>46085.0</v>
      </c>
      <c r="BN6" s="9">
        <v>46093.0</v>
      </c>
      <c r="BO6" s="9">
        <v>46116.0</v>
      </c>
      <c r="BP6" s="9">
        <v>46119.0</v>
      </c>
    </row>
    <row r="7">
      <c r="A7" s="1" t="s">
        <v>220</v>
      </c>
      <c r="B7" s="1">
        <v>58.0</v>
      </c>
      <c r="C7" s="1">
        <v>48.0</v>
      </c>
      <c r="D7" s="1">
        <v>19.0</v>
      </c>
      <c r="E7" s="1">
        <v>56.0</v>
      </c>
      <c r="F7" s="1">
        <v>30.0</v>
      </c>
      <c r="G7" s="1">
        <v>33.0</v>
      </c>
      <c r="H7" s="1">
        <v>60.0</v>
      </c>
      <c r="I7" s="1">
        <v>48.0</v>
      </c>
      <c r="J7" s="1">
        <v>65.0</v>
      </c>
      <c r="K7" s="1">
        <v>55.0</v>
      </c>
      <c r="L7" s="1">
        <v>66.0</v>
      </c>
      <c r="M7" s="1">
        <v>46.0</v>
      </c>
      <c r="N7" s="1">
        <v>62.0</v>
      </c>
      <c r="O7" s="1">
        <v>64.0</v>
      </c>
      <c r="P7" s="1">
        <v>63.0</v>
      </c>
      <c r="Q7" s="1">
        <v>54.0</v>
      </c>
      <c r="R7" s="1">
        <v>62.0</v>
      </c>
      <c r="S7" s="1"/>
      <c r="T7" s="1">
        <v>63.0</v>
      </c>
      <c r="U7" s="1">
        <v>52.0</v>
      </c>
      <c r="V7" s="1">
        <v>59.0</v>
      </c>
      <c r="W7" s="1">
        <v>51.0</v>
      </c>
      <c r="X7" s="1">
        <v>61.0</v>
      </c>
      <c r="Y7" s="1">
        <v>77.0</v>
      </c>
      <c r="Z7" s="1">
        <v>53.0</v>
      </c>
      <c r="AA7" s="1">
        <v>50.0</v>
      </c>
      <c r="AB7" s="1">
        <v>67.0</v>
      </c>
      <c r="AC7" s="1">
        <v>71.0</v>
      </c>
      <c r="AD7" s="1">
        <v>65.0</v>
      </c>
      <c r="AE7" s="1">
        <v>69.0</v>
      </c>
      <c r="AF7" s="1">
        <v>55.0</v>
      </c>
      <c r="AG7" s="1">
        <v>74.0</v>
      </c>
      <c r="AH7" s="1">
        <v>64.0</v>
      </c>
      <c r="AI7" s="1">
        <v>73.0</v>
      </c>
      <c r="AJ7" s="1">
        <v>66.0</v>
      </c>
      <c r="AK7" s="1">
        <v>64.0</v>
      </c>
      <c r="AL7" s="1">
        <v>64.0</v>
      </c>
      <c r="AM7" s="1">
        <v>56.0</v>
      </c>
      <c r="AN7" s="1">
        <v>77.0</v>
      </c>
      <c r="AO7" s="1">
        <v>43.0</v>
      </c>
      <c r="AP7" s="1">
        <v>65.0</v>
      </c>
      <c r="AQ7" s="1">
        <v>22.0</v>
      </c>
      <c r="AR7" s="1">
        <v>40.0</v>
      </c>
      <c r="AS7" s="1">
        <v>61.0</v>
      </c>
      <c r="AT7" s="1">
        <v>66.0</v>
      </c>
      <c r="AU7" s="1">
        <v>66.0</v>
      </c>
      <c r="AV7" s="1">
        <v>58.0</v>
      </c>
      <c r="AW7" s="1">
        <v>68.0</v>
      </c>
      <c r="AX7" s="1">
        <v>72.0</v>
      </c>
      <c r="AY7" s="1">
        <v>69.0</v>
      </c>
      <c r="AZ7" s="1">
        <v>51.0</v>
      </c>
      <c r="BA7" s="1">
        <v>64.0</v>
      </c>
      <c r="BB7" s="1">
        <v>72.0</v>
      </c>
      <c r="BC7" s="2">
        <v>72.0</v>
      </c>
      <c r="BD7" s="2">
        <v>34.0</v>
      </c>
      <c r="BE7" s="2">
        <v>72.0</v>
      </c>
      <c r="BF7" s="2">
        <v>70.0</v>
      </c>
      <c r="BG7" s="2">
        <v>66.0</v>
      </c>
      <c r="BH7" s="2">
        <v>68.0</v>
      </c>
      <c r="BI7" s="2">
        <v>54.0</v>
      </c>
      <c r="BJ7" s="2">
        <v>64.0</v>
      </c>
      <c r="BK7" s="2">
        <v>72.0</v>
      </c>
      <c r="BL7" s="2">
        <v>56.0</v>
      </c>
      <c r="BM7" s="2">
        <v>54.0</v>
      </c>
      <c r="BN7" s="2">
        <v>72.0</v>
      </c>
      <c r="BO7" s="2">
        <v>49.0</v>
      </c>
      <c r="BP7" s="2">
        <v>33.0</v>
      </c>
    </row>
    <row r="8">
      <c r="A8" s="1" t="s">
        <v>221</v>
      </c>
      <c r="B8" s="1">
        <v>84.0</v>
      </c>
      <c r="C8" s="1">
        <v>78.0</v>
      </c>
      <c r="D8" s="1">
        <v>75.0</v>
      </c>
      <c r="E8" s="1">
        <v>96.0</v>
      </c>
      <c r="F8" s="1">
        <v>59.0</v>
      </c>
      <c r="G8" s="1">
        <v>73.0</v>
      </c>
      <c r="H8" s="1">
        <v>87.0</v>
      </c>
      <c r="I8" s="1">
        <v>132.0</v>
      </c>
      <c r="J8" s="1">
        <v>88.0</v>
      </c>
      <c r="K8" s="1">
        <v>116.0</v>
      </c>
      <c r="L8" s="1">
        <v>65.0</v>
      </c>
      <c r="M8" s="1">
        <v>71.0</v>
      </c>
      <c r="N8" s="1">
        <v>56.0</v>
      </c>
      <c r="O8" s="1">
        <v>73.0</v>
      </c>
      <c r="P8" s="1">
        <v>162.0</v>
      </c>
      <c r="Q8" s="1">
        <v>71.0</v>
      </c>
      <c r="R8" s="1">
        <v>88.0</v>
      </c>
      <c r="S8" s="1"/>
      <c r="T8" s="1">
        <v>53.0</v>
      </c>
      <c r="U8" s="1">
        <v>65.0</v>
      </c>
      <c r="V8" s="1">
        <v>70.0</v>
      </c>
      <c r="W8" s="1">
        <v>134.0</v>
      </c>
      <c r="X8" s="1">
        <v>97.0</v>
      </c>
      <c r="Y8" s="1">
        <v>94.0</v>
      </c>
      <c r="Z8" s="1">
        <v>107.0</v>
      </c>
      <c r="AA8" s="1">
        <v>114.0</v>
      </c>
      <c r="AB8" s="1">
        <v>85.0</v>
      </c>
      <c r="AC8" s="1">
        <v>48.0</v>
      </c>
      <c r="AD8" s="1">
        <v>91.0</v>
      </c>
      <c r="AE8" s="1">
        <v>61.0</v>
      </c>
      <c r="AF8" s="1">
        <v>47.0</v>
      </c>
      <c r="AG8" s="1">
        <v>91.0</v>
      </c>
      <c r="AH8" s="1">
        <v>80.0</v>
      </c>
      <c r="AI8" s="1">
        <v>84.6</v>
      </c>
      <c r="AJ8" s="1">
        <v>56.0</v>
      </c>
      <c r="AK8" s="1">
        <v>88.9</v>
      </c>
      <c r="AL8" s="1">
        <v>92.7</v>
      </c>
      <c r="AM8" s="1">
        <v>82.2</v>
      </c>
      <c r="AN8" s="1">
        <v>72.0</v>
      </c>
      <c r="AO8" s="1">
        <v>86.0</v>
      </c>
      <c r="AP8" s="1">
        <v>90.0</v>
      </c>
      <c r="AQ8" s="1">
        <v>79.6</v>
      </c>
      <c r="AR8" s="1">
        <v>93.0</v>
      </c>
      <c r="AS8" s="1">
        <v>74.5</v>
      </c>
      <c r="AT8" s="1">
        <v>82.0</v>
      </c>
      <c r="AU8" s="1">
        <v>97.5</v>
      </c>
      <c r="AV8" s="1">
        <v>66.0</v>
      </c>
      <c r="AW8" s="1">
        <v>79.3</v>
      </c>
      <c r="AX8" s="1">
        <v>63.7</v>
      </c>
      <c r="AY8" s="1">
        <v>84.0</v>
      </c>
      <c r="AZ8" s="1">
        <v>75.8</v>
      </c>
      <c r="BA8" s="1">
        <v>89.0</v>
      </c>
      <c r="BB8" s="1">
        <v>81.0</v>
      </c>
      <c r="BC8" s="2">
        <v>87.0</v>
      </c>
      <c r="BD8" s="2">
        <v>153.2</v>
      </c>
      <c r="BE8" s="2">
        <v>92.0</v>
      </c>
      <c r="BF8" s="2">
        <v>81.0</v>
      </c>
      <c r="BG8" s="2">
        <v>113.0</v>
      </c>
      <c r="BH8" s="2">
        <v>93.5</v>
      </c>
      <c r="BI8" s="2">
        <v>114.0</v>
      </c>
      <c r="BJ8" s="2">
        <v>116.6</v>
      </c>
      <c r="BK8" s="2">
        <v>65.5</v>
      </c>
      <c r="BL8" s="2">
        <v>82.0</v>
      </c>
      <c r="BM8" s="2">
        <v>83.0</v>
      </c>
      <c r="BN8" s="2">
        <v>102.0</v>
      </c>
      <c r="BO8" s="2">
        <v>111.0</v>
      </c>
      <c r="BP8" s="2">
        <v>125.0</v>
      </c>
    </row>
    <row r="9">
      <c r="A9" s="2" t="s">
        <v>222</v>
      </c>
      <c r="B9" s="2">
        <v>180.0</v>
      </c>
      <c r="C9" s="2">
        <v>175.0</v>
      </c>
      <c r="D9" s="2">
        <v>168.0</v>
      </c>
      <c r="E9" s="2">
        <v>175.0</v>
      </c>
      <c r="F9" s="2">
        <v>163.0</v>
      </c>
      <c r="G9" s="2">
        <v>152.0</v>
      </c>
      <c r="H9" s="2">
        <v>175.0</v>
      </c>
      <c r="I9" s="2">
        <v>185.0</v>
      </c>
      <c r="J9" s="2">
        <v>188.0</v>
      </c>
      <c r="K9" s="2">
        <v>193.0</v>
      </c>
      <c r="L9" s="2">
        <v>178.0</v>
      </c>
      <c r="M9" s="2">
        <v>165.0</v>
      </c>
      <c r="N9" s="2">
        <v>153.0</v>
      </c>
      <c r="O9" s="2">
        <v>163.0</v>
      </c>
      <c r="P9" s="2">
        <v>196.0</v>
      </c>
      <c r="Q9" s="2">
        <v>170.0</v>
      </c>
      <c r="R9" s="2">
        <v>173.0</v>
      </c>
      <c r="T9" s="2">
        <v>160.0</v>
      </c>
      <c r="U9" s="2">
        <v>158.0</v>
      </c>
      <c r="V9" s="2">
        <v>178.0</v>
      </c>
      <c r="W9" s="2">
        <v>188.0</v>
      </c>
      <c r="X9" s="2">
        <v>158.0</v>
      </c>
      <c r="Y9" s="2">
        <v>173.0</v>
      </c>
      <c r="Z9" s="2">
        <v>173.0</v>
      </c>
      <c r="AA9" s="2">
        <v>185.0</v>
      </c>
      <c r="AB9" s="2">
        <v>180.0</v>
      </c>
      <c r="AC9" s="2">
        <v>183.0</v>
      </c>
      <c r="AD9" s="2">
        <v>170.0</v>
      </c>
      <c r="AE9" s="2">
        <v>152.0</v>
      </c>
      <c r="AF9" s="2">
        <v>164.0</v>
      </c>
      <c r="AG9" s="2">
        <v>168.0</v>
      </c>
      <c r="AH9" s="2">
        <v>188.0</v>
      </c>
      <c r="AI9" s="2">
        <v>183.0</v>
      </c>
      <c r="AJ9" s="2">
        <v>168.0</v>
      </c>
      <c r="AK9" s="2">
        <v>188.0</v>
      </c>
      <c r="AL9" s="2">
        <v>183.0</v>
      </c>
      <c r="AM9" s="2">
        <v>178.0</v>
      </c>
      <c r="AN9" s="2">
        <v>178.0</v>
      </c>
      <c r="AO9" s="2">
        <v>170.0</v>
      </c>
      <c r="AP9" s="2">
        <v>185.0</v>
      </c>
      <c r="AQ9" s="2">
        <v>165.0</v>
      </c>
      <c r="AR9" s="2">
        <v>185.0</v>
      </c>
      <c r="AS9" s="2">
        <v>183.0</v>
      </c>
      <c r="AT9" s="2">
        <v>180.0</v>
      </c>
      <c r="AU9" s="2">
        <v>168.0</v>
      </c>
      <c r="AV9" s="2">
        <v>158.0</v>
      </c>
      <c r="AW9" s="2">
        <v>170.0</v>
      </c>
      <c r="AX9" s="2">
        <v>165.0</v>
      </c>
      <c r="AY9" s="2">
        <v>158.0</v>
      </c>
      <c r="AZ9" s="2">
        <v>180.0</v>
      </c>
      <c r="BA9" s="2">
        <v>178.0</v>
      </c>
      <c r="BB9" s="2">
        <v>168.0</v>
      </c>
      <c r="BC9" s="2">
        <v>178.0</v>
      </c>
      <c r="BD9" s="2">
        <v>180.0</v>
      </c>
      <c r="BE9" s="2">
        <v>178.0</v>
      </c>
      <c r="BF9" s="2">
        <v>180.0</v>
      </c>
      <c r="BG9" s="2">
        <v>183.0</v>
      </c>
      <c r="BH9" s="2">
        <v>178.0</v>
      </c>
      <c r="BI9" s="2">
        <v>175.0</v>
      </c>
      <c r="BJ9" s="2">
        <v>203.0</v>
      </c>
      <c r="BK9" s="2">
        <v>175.0</v>
      </c>
      <c r="BL9" s="2">
        <v>185.0</v>
      </c>
      <c r="BM9" s="2">
        <v>181.0</v>
      </c>
      <c r="BN9" s="2">
        <v>173.0</v>
      </c>
      <c r="BO9" s="2">
        <v>193.0</v>
      </c>
      <c r="BP9" s="2">
        <v>180.0</v>
      </c>
    </row>
    <row r="10">
      <c r="A10" s="1" t="s">
        <v>223</v>
      </c>
      <c r="B10" s="1">
        <v>1.0</v>
      </c>
      <c r="C10" s="1">
        <v>1.0</v>
      </c>
      <c r="D10" s="1">
        <v>1.0</v>
      </c>
      <c r="E10" s="1">
        <v>1.0</v>
      </c>
      <c r="F10" s="1">
        <v>2.0</v>
      </c>
      <c r="G10" s="1">
        <v>2.0</v>
      </c>
      <c r="H10" s="1">
        <v>1.0</v>
      </c>
      <c r="I10" s="1">
        <v>1.0</v>
      </c>
      <c r="J10" s="1">
        <v>1.0</v>
      </c>
      <c r="K10" s="1">
        <v>1.0</v>
      </c>
      <c r="L10" s="1">
        <v>1.0</v>
      </c>
      <c r="M10" s="1">
        <v>1.0</v>
      </c>
      <c r="N10" s="1">
        <v>2.0</v>
      </c>
      <c r="O10" s="1">
        <v>2.0</v>
      </c>
      <c r="P10" s="1">
        <v>1.0</v>
      </c>
      <c r="Q10" s="1">
        <v>1.0</v>
      </c>
      <c r="R10" s="1">
        <v>1.0</v>
      </c>
      <c r="S10" s="1"/>
      <c r="T10" s="1">
        <v>2.0</v>
      </c>
      <c r="U10" s="1">
        <v>2.0</v>
      </c>
      <c r="V10" s="1">
        <v>1.0</v>
      </c>
      <c r="W10" s="1">
        <v>1.0</v>
      </c>
      <c r="X10" s="1">
        <v>2.0</v>
      </c>
      <c r="Y10" s="1">
        <v>1.0</v>
      </c>
      <c r="Z10" s="1">
        <v>1.0</v>
      </c>
      <c r="AA10" s="1">
        <v>1.0</v>
      </c>
      <c r="AB10" s="1">
        <v>1.0</v>
      </c>
      <c r="AC10" s="1">
        <v>1.0</v>
      </c>
      <c r="AD10" s="1">
        <v>2.0</v>
      </c>
      <c r="AE10" s="1">
        <v>2.0</v>
      </c>
      <c r="AF10" s="1">
        <v>1.0</v>
      </c>
      <c r="AG10" s="1">
        <v>2.0</v>
      </c>
      <c r="AH10" s="1">
        <v>1.0</v>
      </c>
      <c r="AI10" s="1">
        <v>1.0</v>
      </c>
      <c r="AJ10" s="1">
        <v>1.0</v>
      </c>
      <c r="AK10" s="1">
        <v>1.0</v>
      </c>
      <c r="AL10" s="1">
        <v>1.0</v>
      </c>
      <c r="AM10" s="1">
        <v>1.0</v>
      </c>
      <c r="AN10" s="1">
        <v>1.0</v>
      </c>
      <c r="AO10" s="1">
        <v>1.0</v>
      </c>
      <c r="AP10" s="1">
        <v>1.0</v>
      </c>
      <c r="AQ10" s="1">
        <v>1.0</v>
      </c>
      <c r="AR10" s="1">
        <v>1.0</v>
      </c>
      <c r="AS10" s="1">
        <v>1.0</v>
      </c>
      <c r="AT10" s="1">
        <v>1.0</v>
      </c>
      <c r="AU10" s="1">
        <v>2.0</v>
      </c>
      <c r="AV10" s="1">
        <v>1.0</v>
      </c>
      <c r="AW10" s="1">
        <v>2.0</v>
      </c>
      <c r="AX10" s="1">
        <v>1.0</v>
      </c>
      <c r="AY10" s="1">
        <v>2.0</v>
      </c>
      <c r="AZ10" s="1">
        <v>1.0</v>
      </c>
      <c r="BA10" s="1">
        <v>1.0</v>
      </c>
      <c r="BB10" s="1">
        <v>1.0</v>
      </c>
      <c r="BC10" s="2">
        <v>1.0</v>
      </c>
      <c r="BD10" s="2">
        <v>1.0</v>
      </c>
      <c r="BE10" s="2">
        <v>1.0</v>
      </c>
      <c r="BF10" s="2">
        <v>1.0</v>
      </c>
      <c r="BG10" s="2">
        <v>1.0</v>
      </c>
      <c r="BH10" s="2">
        <v>1.0</v>
      </c>
      <c r="BI10" s="2">
        <v>1.0</v>
      </c>
      <c r="BJ10" s="2">
        <v>1.0</v>
      </c>
      <c r="BK10" s="2">
        <v>1.0</v>
      </c>
      <c r="BL10" s="2">
        <v>1.0</v>
      </c>
      <c r="BM10" s="2">
        <v>1.0</v>
      </c>
      <c r="BN10" s="2">
        <v>1.0</v>
      </c>
      <c r="BO10" s="2">
        <v>1.0</v>
      </c>
      <c r="BP10" s="2">
        <v>1.0</v>
      </c>
    </row>
    <row r="11">
      <c r="A11" s="2" t="s">
        <v>224</v>
      </c>
      <c r="B11" s="1">
        <v>1.0</v>
      </c>
      <c r="C11" s="1">
        <v>1.0</v>
      </c>
      <c r="D11" s="1">
        <v>1.0</v>
      </c>
      <c r="E11" s="1">
        <v>1.0</v>
      </c>
      <c r="F11" s="1">
        <v>3.0</v>
      </c>
      <c r="G11" s="1">
        <v>1.0</v>
      </c>
      <c r="H11" s="1">
        <v>1.0</v>
      </c>
      <c r="I11" s="1">
        <v>3.0</v>
      </c>
      <c r="J11" s="1">
        <v>3.0</v>
      </c>
      <c r="K11" s="1">
        <v>1.0</v>
      </c>
      <c r="L11" s="1">
        <v>3.0</v>
      </c>
      <c r="M11" s="1">
        <v>3.0</v>
      </c>
      <c r="N11" s="1">
        <v>2.0</v>
      </c>
      <c r="O11" s="1">
        <v>3.0</v>
      </c>
      <c r="P11" s="1">
        <v>1.0</v>
      </c>
      <c r="Q11" s="1">
        <v>3.0</v>
      </c>
      <c r="R11" s="1">
        <v>1.0</v>
      </c>
      <c r="S11" s="1"/>
      <c r="T11" s="1">
        <v>1.0</v>
      </c>
      <c r="U11" s="1">
        <v>1.0</v>
      </c>
      <c r="V11" s="1">
        <v>1.0</v>
      </c>
      <c r="W11" s="1">
        <v>3.0</v>
      </c>
      <c r="X11" s="1">
        <v>1.0</v>
      </c>
      <c r="Y11" s="1">
        <v>3.0</v>
      </c>
      <c r="Z11" s="1">
        <v>1.0</v>
      </c>
      <c r="AA11" s="1">
        <v>1.0</v>
      </c>
      <c r="AB11" s="1" t="s">
        <v>225</v>
      </c>
      <c r="AC11" s="1">
        <v>3.0</v>
      </c>
      <c r="AD11" s="1">
        <v>1.0</v>
      </c>
      <c r="AE11" s="1">
        <v>3.0</v>
      </c>
      <c r="AF11" s="1">
        <v>1.0</v>
      </c>
      <c r="AG11" s="1">
        <v>3.0</v>
      </c>
      <c r="AH11" s="1">
        <v>1.0</v>
      </c>
      <c r="AI11" s="1">
        <v>1.0</v>
      </c>
      <c r="AJ11" s="1">
        <v>2.0</v>
      </c>
      <c r="AK11" s="1">
        <v>1.0</v>
      </c>
      <c r="AL11" s="1">
        <v>3.0</v>
      </c>
      <c r="AM11" s="1">
        <v>2.0</v>
      </c>
      <c r="AN11" s="1">
        <v>1.0</v>
      </c>
      <c r="AO11" s="1">
        <v>3.0</v>
      </c>
      <c r="AP11" s="1">
        <v>1.0</v>
      </c>
      <c r="AQ11" s="1">
        <v>1.0</v>
      </c>
      <c r="AR11" s="1">
        <v>3.0</v>
      </c>
      <c r="AS11" s="1">
        <v>3.0</v>
      </c>
      <c r="AT11" s="1">
        <v>1.0</v>
      </c>
      <c r="AU11" s="1">
        <v>3.0</v>
      </c>
      <c r="AV11" s="1">
        <v>3.0</v>
      </c>
      <c r="AW11" s="1">
        <v>1.0</v>
      </c>
      <c r="AX11" s="1">
        <v>6.0</v>
      </c>
      <c r="AY11" s="1">
        <v>1.0</v>
      </c>
      <c r="AZ11" s="1">
        <v>1.0</v>
      </c>
      <c r="BA11" s="1">
        <v>3.0</v>
      </c>
      <c r="BB11" s="1">
        <v>2.0</v>
      </c>
      <c r="BC11" s="2">
        <v>3.0</v>
      </c>
      <c r="BD11" s="2">
        <v>1.0</v>
      </c>
      <c r="BE11" s="2">
        <v>3.0</v>
      </c>
      <c r="BF11" s="2">
        <v>3.0</v>
      </c>
      <c r="BG11" s="2">
        <v>3.0</v>
      </c>
      <c r="BH11" s="2">
        <v>3.0</v>
      </c>
      <c r="BI11" s="2">
        <v>6.0</v>
      </c>
      <c r="BJ11" s="2">
        <v>1.0</v>
      </c>
      <c r="BK11" s="2">
        <v>1.0</v>
      </c>
      <c r="BL11" s="2">
        <v>1.0</v>
      </c>
      <c r="BM11" s="2">
        <v>2.0</v>
      </c>
      <c r="BN11" s="2">
        <v>1.0</v>
      </c>
      <c r="BO11" s="2">
        <v>1.0</v>
      </c>
      <c r="BP11" s="2">
        <v>3.0</v>
      </c>
    </row>
    <row r="12">
      <c r="A12" s="1" t="s">
        <v>226</v>
      </c>
      <c r="B12" s="1">
        <v>2.0</v>
      </c>
      <c r="C12" s="1">
        <v>2.0</v>
      </c>
      <c r="D12" s="1">
        <v>1.0</v>
      </c>
      <c r="E12" s="1">
        <v>2.0</v>
      </c>
      <c r="F12" s="1"/>
      <c r="G12" s="1">
        <v>2.0</v>
      </c>
      <c r="H12" s="1">
        <v>2.0</v>
      </c>
      <c r="I12" s="1">
        <v>2.0</v>
      </c>
      <c r="J12" s="1">
        <v>2.0</v>
      </c>
      <c r="K12" s="1">
        <v>2.0</v>
      </c>
      <c r="L12" s="1">
        <v>2.0</v>
      </c>
      <c r="M12" s="1">
        <v>2.0</v>
      </c>
      <c r="N12" s="1">
        <v>2.0</v>
      </c>
      <c r="O12" s="1">
        <v>2.0</v>
      </c>
      <c r="P12" s="1">
        <v>2.0</v>
      </c>
      <c r="Q12" s="1">
        <v>2.0</v>
      </c>
      <c r="R12" s="1">
        <v>2.0</v>
      </c>
      <c r="S12" s="1"/>
      <c r="T12" s="1">
        <v>2.0</v>
      </c>
      <c r="U12" s="1">
        <v>2.0</v>
      </c>
      <c r="V12" s="1">
        <v>2.0</v>
      </c>
      <c r="W12" s="1">
        <v>2.0</v>
      </c>
      <c r="X12" s="1">
        <v>2.0</v>
      </c>
      <c r="Y12" s="1">
        <v>2.0</v>
      </c>
      <c r="Z12" s="1">
        <v>2.0</v>
      </c>
      <c r="AA12" s="1">
        <v>2.0</v>
      </c>
      <c r="AB12" s="1">
        <v>1.0</v>
      </c>
      <c r="AC12" s="1">
        <v>2.0</v>
      </c>
      <c r="AD12" s="1">
        <v>2.0</v>
      </c>
      <c r="AE12" s="1">
        <v>2.0</v>
      </c>
      <c r="AF12" s="1">
        <v>2.0</v>
      </c>
      <c r="AG12" s="1">
        <v>2.0</v>
      </c>
      <c r="AH12" s="1">
        <v>2.0</v>
      </c>
      <c r="AI12" s="1">
        <v>2.0</v>
      </c>
      <c r="AJ12" s="1">
        <v>1.0</v>
      </c>
      <c r="AK12" s="1">
        <v>2.0</v>
      </c>
      <c r="AL12" s="1">
        <v>2.0</v>
      </c>
      <c r="AM12" s="1">
        <v>2.0</v>
      </c>
      <c r="AN12" s="1">
        <v>2.0</v>
      </c>
      <c r="AO12" s="1">
        <v>2.0</v>
      </c>
      <c r="AP12" s="1">
        <v>2.0</v>
      </c>
      <c r="AQ12" s="1">
        <v>2.0</v>
      </c>
      <c r="AR12" s="1">
        <v>2.0</v>
      </c>
      <c r="AS12" s="1">
        <v>2.0</v>
      </c>
      <c r="AT12" s="1">
        <v>2.0</v>
      </c>
      <c r="AU12" s="1">
        <v>1.0</v>
      </c>
      <c r="AV12" s="1">
        <v>2.0</v>
      </c>
      <c r="AW12" s="1">
        <v>2.0</v>
      </c>
      <c r="AX12" s="1">
        <v>2.0</v>
      </c>
      <c r="AY12" s="1">
        <v>2.0</v>
      </c>
      <c r="AZ12" s="1">
        <v>2.0</v>
      </c>
      <c r="BA12" s="1">
        <v>1.0</v>
      </c>
      <c r="BB12" s="1">
        <v>1.0</v>
      </c>
      <c r="BC12" s="2">
        <v>2.0</v>
      </c>
      <c r="BD12" s="2">
        <v>2.0</v>
      </c>
      <c r="BE12" s="2">
        <v>2.0</v>
      </c>
      <c r="BF12" s="2">
        <v>2.0</v>
      </c>
      <c r="BG12" s="2">
        <v>2.0</v>
      </c>
      <c r="BH12" s="2">
        <v>2.0</v>
      </c>
      <c r="BI12" s="2">
        <v>2.0</v>
      </c>
      <c r="BJ12" s="2">
        <v>2.0</v>
      </c>
      <c r="BK12" s="2">
        <v>2.0</v>
      </c>
      <c r="BL12" s="2">
        <v>2.0</v>
      </c>
      <c r="BM12" s="2">
        <v>2.0</v>
      </c>
      <c r="BN12" s="2">
        <v>2.0</v>
      </c>
      <c r="BO12" s="2">
        <v>2.0</v>
      </c>
      <c r="BP12" s="2">
        <v>2.0</v>
      </c>
    </row>
    <row r="13">
      <c r="A13" s="5" t="s">
        <v>227</v>
      </c>
      <c r="B13" s="1">
        <v>3.0</v>
      </c>
      <c r="C13" s="1">
        <v>2.0</v>
      </c>
      <c r="D13" s="1"/>
      <c r="E13" s="1">
        <v>2.0</v>
      </c>
      <c r="F13" s="1">
        <v>1.0</v>
      </c>
      <c r="G13" s="1">
        <v>2.0</v>
      </c>
      <c r="H13" s="1">
        <v>2.0</v>
      </c>
      <c r="I13" s="1">
        <v>1.0</v>
      </c>
      <c r="J13" s="10">
        <v>2.0</v>
      </c>
      <c r="K13" s="10">
        <v>2.0</v>
      </c>
      <c r="L13" s="10">
        <v>2.0</v>
      </c>
      <c r="M13" s="10">
        <v>2.0</v>
      </c>
      <c r="N13" s="1">
        <v>3.0</v>
      </c>
      <c r="O13" s="10">
        <v>2.0</v>
      </c>
      <c r="P13" s="1">
        <v>3.0</v>
      </c>
      <c r="Q13" s="1">
        <v>3.0</v>
      </c>
      <c r="R13" s="1">
        <v>1.0</v>
      </c>
      <c r="S13" s="1"/>
      <c r="T13" s="1">
        <v>2.0</v>
      </c>
      <c r="U13" s="1">
        <v>3.0</v>
      </c>
      <c r="V13" s="1">
        <v>3.0</v>
      </c>
      <c r="W13" s="1">
        <v>3.0</v>
      </c>
      <c r="X13" s="1">
        <v>2.0</v>
      </c>
      <c r="Y13" s="1"/>
      <c r="Z13" s="1">
        <v>2.0</v>
      </c>
      <c r="AA13" s="1">
        <v>3.0</v>
      </c>
      <c r="AB13" s="1">
        <v>3.0</v>
      </c>
      <c r="AC13" s="1">
        <v>2.0</v>
      </c>
      <c r="AD13" s="1">
        <v>3.0</v>
      </c>
      <c r="AE13" s="1">
        <v>2.0</v>
      </c>
      <c r="AF13" s="1">
        <v>2.0</v>
      </c>
      <c r="AG13" s="1">
        <v>2.0</v>
      </c>
      <c r="AH13" s="1">
        <v>2.0</v>
      </c>
      <c r="AI13" s="1">
        <v>2.0</v>
      </c>
      <c r="AJ13" s="1">
        <v>2.0</v>
      </c>
      <c r="AK13" s="1">
        <v>2.0</v>
      </c>
      <c r="AL13" s="1">
        <v>2.0</v>
      </c>
      <c r="AM13" s="1">
        <v>3.0</v>
      </c>
      <c r="AN13" s="1">
        <v>2.0</v>
      </c>
      <c r="AO13" s="1">
        <v>3.0</v>
      </c>
      <c r="AP13" s="1">
        <v>2.0</v>
      </c>
      <c r="AQ13" s="1">
        <v>2.0</v>
      </c>
      <c r="AR13" s="1">
        <v>1.0</v>
      </c>
      <c r="AS13" s="1">
        <v>3.0</v>
      </c>
      <c r="AT13" s="1">
        <v>2.0</v>
      </c>
      <c r="AU13" s="1">
        <v>3.0</v>
      </c>
      <c r="AV13" s="1">
        <v>3.0</v>
      </c>
      <c r="AW13" s="1">
        <v>3.0</v>
      </c>
      <c r="AX13" s="1">
        <v>2.0</v>
      </c>
      <c r="AY13" s="1">
        <v>2.0</v>
      </c>
      <c r="AZ13" s="1">
        <v>2.0</v>
      </c>
      <c r="BA13" s="1">
        <v>3.0</v>
      </c>
      <c r="BB13" s="1"/>
      <c r="BC13" s="2">
        <v>3.0</v>
      </c>
      <c r="BD13" s="2">
        <v>2.0</v>
      </c>
      <c r="BE13" s="2">
        <v>2.0</v>
      </c>
      <c r="BG13" s="2">
        <v>2.0</v>
      </c>
      <c r="BH13" s="2">
        <v>2.0</v>
      </c>
      <c r="BI13" s="2">
        <v>2.0</v>
      </c>
      <c r="BJ13" s="2">
        <v>2.0</v>
      </c>
      <c r="BK13" s="2">
        <v>2.0</v>
      </c>
      <c r="BL13" s="2">
        <v>2.0</v>
      </c>
      <c r="BM13" s="2">
        <v>1.0</v>
      </c>
      <c r="BN13" s="2">
        <v>2.0</v>
      </c>
      <c r="BO13" s="2">
        <v>2.0</v>
      </c>
    </row>
    <row r="14">
      <c r="A14" s="5" t="s">
        <v>228</v>
      </c>
      <c r="B14" s="2">
        <v>7.0</v>
      </c>
      <c r="C14" s="2">
        <v>4.0</v>
      </c>
      <c r="D14" s="2">
        <v>1.0</v>
      </c>
      <c r="E14" s="2">
        <v>1.0</v>
      </c>
      <c r="F14" s="2">
        <v>6.0</v>
      </c>
      <c r="G14" s="2">
        <v>7.0</v>
      </c>
      <c r="H14" s="2">
        <v>6.0</v>
      </c>
      <c r="I14" s="2">
        <v>1.0</v>
      </c>
      <c r="J14" s="2">
        <v>3.0</v>
      </c>
      <c r="K14" s="2">
        <v>4.0</v>
      </c>
      <c r="L14" s="2">
        <v>4.0</v>
      </c>
      <c r="M14" s="2">
        <v>2.0</v>
      </c>
      <c r="N14" s="2">
        <v>4.0</v>
      </c>
      <c r="O14" s="2">
        <v>1.0</v>
      </c>
      <c r="P14" s="2">
        <v>1.0</v>
      </c>
      <c r="Q14" s="2">
        <v>2.0</v>
      </c>
      <c r="R14" s="2">
        <v>2.0</v>
      </c>
      <c r="T14" s="2">
        <v>0.0</v>
      </c>
      <c r="U14" s="2">
        <v>1.0</v>
      </c>
      <c r="V14" s="2">
        <v>7.0</v>
      </c>
      <c r="W14" s="2">
        <v>7.0</v>
      </c>
      <c r="X14" s="2">
        <v>1.0</v>
      </c>
      <c r="Y14" s="2">
        <v>7.0</v>
      </c>
      <c r="Z14" s="2">
        <v>3.0</v>
      </c>
      <c r="AA14" s="2">
        <v>5.0</v>
      </c>
      <c r="AB14" s="2">
        <v>2.0</v>
      </c>
      <c r="AC14" s="2">
        <v>2.0</v>
      </c>
      <c r="AD14" s="2">
        <v>2.0</v>
      </c>
      <c r="AE14" s="2">
        <v>7.0</v>
      </c>
      <c r="AF14" s="2">
        <v>3.0</v>
      </c>
      <c r="AG14" s="2">
        <v>2.0</v>
      </c>
      <c r="AH14" s="2">
        <v>0.0</v>
      </c>
      <c r="AI14" s="2">
        <v>6.0</v>
      </c>
      <c r="AJ14" s="2">
        <v>2.0</v>
      </c>
      <c r="AK14" s="2">
        <v>1.0</v>
      </c>
      <c r="AL14" s="2">
        <v>2.0</v>
      </c>
      <c r="AM14" s="2">
        <v>3.0</v>
      </c>
      <c r="AN14" s="2">
        <v>3.0</v>
      </c>
      <c r="AO14" s="2">
        <v>3.0</v>
      </c>
      <c r="AP14" s="2">
        <v>5.0</v>
      </c>
      <c r="AQ14" s="2">
        <v>2.0</v>
      </c>
      <c r="AR14" s="2">
        <v>7.0</v>
      </c>
      <c r="AS14" s="2">
        <v>1.0</v>
      </c>
      <c r="AT14" s="2">
        <v>0.0</v>
      </c>
      <c r="AU14" s="2">
        <v>1.0</v>
      </c>
      <c r="AV14" s="2">
        <v>1.0</v>
      </c>
      <c r="AW14" s="2">
        <v>2.0</v>
      </c>
      <c r="AX14" s="2">
        <v>4.0</v>
      </c>
      <c r="AY14" s="2">
        <v>4.0</v>
      </c>
      <c r="AZ14" s="2">
        <v>2.0</v>
      </c>
      <c r="BA14" s="2">
        <v>1.0</v>
      </c>
      <c r="BB14" s="2">
        <v>3.0</v>
      </c>
      <c r="BC14" s="2">
        <v>8.0</v>
      </c>
      <c r="BD14" s="2">
        <v>9.0</v>
      </c>
      <c r="BE14" s="2">
        <v>8.0</v>
      </c>
      <c r="BF14" s="2">
        <v>2.0</v>
      </c>
      <c r="BG14" s="2">
        <v>10.0</v>
      </c>
      <c r="BH14" s="2">
        <v>10.0</v>
      </c>
      <c r="BI14" s="2">
        <v>3.0</v>
      </c>
      <c r="BJ14" s="2">
        <v>2.0</v>
      </c>
      <c r="BK14" s="2">
        <v>2.0</v>
      </c>
      <c r="BL14" s="2">
        <v>2.0</v>
      </c>
      <c r="BM14" s="2">
        <v>6.0</v>
      </c>
      <c r="BN14" s="2">
        <v>1.0</v>
      </c>
      <c r="BO14" s="2">
        <v>8.0</v>
      </c>
      <c r="BP14" s="2">
        <v>4.0</v>
      </c>
    </row>
    <row r="16">
      <c r="A16" s="4" t="s">
        <v>229</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row>
    <row r="17">
      <c r="A17" s="11" t="s">
        <v>230</v>
      </c>
      <c r="B17" s="1">
        <v>16.0</v>
      </c>
      <c r="C17" s="1">
        <v>16.0</v>
      </c>
      <c r="D17" s="1"/>
      <c r="E17" s="1">
        <v>5.0</v>
      </c>
      <c r="F17" s="1">
        <v>7.0</v>
      </c>
      <c r="G17" s="1">
        <v>10.0</v>
      </c>
      <c r="H17" s="1">
        <v>8.0</v>
      </c>
      <c r="I17" s="1">
        <v>6.0</v>
      </c>
      <c r="J17" s="1">
        <v>15.0</v>
      </c>
      <c r="K17" s="1">
        <v>14.0</v>
      </c>
      <c r="L17" s="1">
        <v>10.0</v>
      </c>
      <c r="M17" s="1">
        <v>13.0</v>
      </c>
      <c r="N17" s="1">
        <v>16.0</v>
      </c>
      <c r="O17" s="1">
        <v>13.0</v>
      </c>
      <c r="P17" s="1">
        <v>5.0</v>
      </c>
      <c r="Q17" s="1">
        <v>21.0</v>
      </c>
      <c r="R17" s="1">
        <v>5.0</v>
      </c>
      <c r="S17" s="1"/>
      <c r="T17" s="1">
        <v>15.0</v>
      </c>
      <c r="U17" s="1">
        <v>22.0</v>
      </c>
      <c r="V17" s="1">
        <v>15.0</v>
      </c>
      <c r="W17" s="1">
        <v>12.0</v>
      </c>
      <c r="X17" s="1">
        <v>10.0</v>
      </c>
      <c r="Y17" s="1">
        <v>5.0</v>
      </c>
      <c r="Z17" s="1">
        <v>20.0</v>
      </c>
      <c r="AA17" s="1">
        <v>9.0</v>
      </c>
      <c r="AB17" s="1">
        <v>24.0</v>
      </c>
      <c r="AC17" s="1">
        <v>12.0</v>
      </c>
      <c r="AD17" s="1">
        <v>4.0</v>
      </c>
      <c r="AE17" s="1">
        <v>22.0</v>
      </c>
      <c r="AF17" s="1">
        <v>20.0</v>
      </c>
      <c r="AG17" s="1">
        <v>14.0</v>
      </c>
      <c r="AH17" s="2">
        <v>15.0</v>
      </c>
      <c r="AI17" s="1">
        <v>6.0</v>
      </c>
      <c r="AJ17" s="1">
        <v>20.0</v>
      </c>
      <c r="AK17" s="1">
        <v>20.0</v>
      </c>
      <c r="AL17" s="1">
        <v>11.0</v>
      </c>
      <c r="AM17" s="1">
        <v>5.0</v>
      </c>
      <c r="AN17" s="1">
        <v>10.0</v>
      </c>
      <c r="AO17" s="1">
        <v>10.0</v>
      </c>
      <c r="AP17" s="1">
        <v>9.0</v>
      </c>
      <c r="AQ17" s="1">
        <v>10.0</v>
      </c>
      <c r="AR17" s="1">
        <v>5.0</v>
      </c>
      <c r="AS17" s="1">
        <v>18.0</v>
      </c>
      <c r="AT17" s="1">
        <v>15.0</v>
      </c>
      <c r="AU17" s="1">
        <v>14.0</v>
      </c>
      <c r="AV17" s="1">
        <v>5.0</v>
      </c>
      <c r="AW17" s="1">
        <v>20.0</v>
      </c>
      <c r="AX17" s="1">
        <v>17.0</v>
      </c>
      <c r="AY17" s="1">
        <v>12.0</v>
      </c>
      <c r="AZ17" s="1">
        <v>21.0</v>
      </c>
      <c r="BA17" s="1">
        <v>15.0</v>
      </c>
      <c r="BB17" s="1">
        <v>12.0</v>
      </c>
      <c r="BC17" s="2">
        <v>12.0</v>
      </c>
      <c r="BD17" s="2">
        <v>16.0</v>
      </c>
      <c r="BE17" s="2">
        <v>12.0</v>
      </c>
      <c r="BF17" s="2">
        <v>15.0</v>
      </c>
      <c r="BG17" s="2">
        <v>20.0</v>
      </c>
      <c r="BH17" s="2">
        <v>9.0</v>
      </c>
      <c r="BI17" s="2">
        <v>4.0</v>
      </c>
      <c r="BJ17" s="2">
        <v>8.0</v>
      </c>
      <c r="BK17" s="2">
        <v>13.0</v>
      </c>
      <c r="BL17" s="2">
        <v>1.0</v>
      </c>
      <c r="BM17" s="2">
        <v>3.0</v>
      </c>
      <c r="BN17" s="2">
        <v>4.0</v>
      </c>
      <c r="BO17" s="2">
        <v>16.0</v>
      </c>
      <c r="BP17" s="2">
        <v>27.0</v>
      </c>
    </row>
    <row r="18">
      <c r="A18" s="11" t="s">
        <v>231</v>
      </c>
      <c r="B18" s="1">
        <v>51.0</v>
      </c>
      <c r="C18" s="1">
        <v>57.0</v>
      </c>
      <c r="D18" s="1"/>
      <c r="E18" s="1">
        <v>51.0</v>
      </c>
      <c r="F18" s="1">
        <v>36.0</v>
      </c>
      <c r="G18" s="1">
        <v>52.0</v>
      </c>
      <c r="H18" s="1">
        <v>54.0</v>
      </c>
      <c r="I18" s="1">
        <v>32.0</v>
      </c>
      <c r="J18" s="1">
        <v>45.0</v>
      </c>
      <c r="K18" s="1">
        <v>68.0</v>
      </c>
      <c r="L18" s="1">
        <v>37.0</v>
      </c>
      <c r="M18" s="1">
        <v>35.0</v>
      </c>
      <c r="N18" s="1">
        <v>56.0</v>
      </c>
      <c r="O18" s="1">
        <v>77.0</v>
      </c>
      <c r="P18" s="1">
        <v>86.0</v>
      </c>
      <c r="Q18" s="1">
        <v>60.0</v>
      </c>
      <c r="R18" s="1">
        <v>24.0</v>
      </c>
      <c r="S18" s="1"/>
      <c r="T18" s="1">
        <v>44.0</v>
      </c>
      <c r="U18" s="1">
        <v>48.0</v>
      </c>
      <c r="V18" s="1">
        <v>50.0</v>
      </c>
      <c r="W18" s="1">
        <v>60.0</v>
      </c>
      <c r="X18" s="1">
        <v>48.0</v>
      </c>
      <c r="Y18" s="1">
        <v>44.0</v>
      </c>
      <c r="Z18" s="1">
        <v>55.0</v>
      </c>
      <c r="AA18" s="1">
        <v>40.0</v>
      </c>
      <c r="AB18" s="1">
        <v>45.0</v>
      </c>
      <c r="AC18" s="1">
        <v>69.0</v>
      </c>
      <c r="AD18" s="1">
        <v>62.0</v>
      </c>
      <c r="AE18" s="1">
        <v>68.0</v>
      </c>
      <c r="AF18" s="1">
        <v>63.0</v>
      </c>
      <c r="AG18" s="1">
        <v>65.0</v>
      </c>
      <c r="AH18" s="1">
        <v>53.0</v>
      </c>
      <c r="AI18" s="1">
        <v>70.0</v>
      </c>
      <c r="AJ18" s="1">
        <v>38.0</v>
      </c>
      <c r="AK18" s="1">
        <v>66.0</v>
      </c>
      <c r="AL18" s="1">
        <v>64.0</v>
      </c>
      <c r="AM18" s="1">
        <v>60.0</v>
      </c>
      <c r="AN18" s="1">
        <v>41.0</v>
      </c>
      <c r="AO18" s="1">
        <v>47.0</v>
      </c>
      <c r="AP18" s="1">
        <v>46.0</v>
      </c>
      <c r="AQ18" s="1">
        <v>50.0</v>
      </c>
      <c r="AR18" s="1">
        <v>46.0</v>
      </c>
      <c r="AS18" s="1">
        <v>56.0</v>
      </c>
      <c r="AT18" s="1">
        <v>52.0</v>
      </c>
      <c r="AU18" s="1">
        <v>44.0</v>
      </c>
      <c r="AV18" s="1">
        <v>60.0</v>
      </c>
      <c r="AW18" s="1">
        <v>30.0</v>
      </c>
      <c r="AX18" s="1">
        <v>70.0</v>
      </c>
      <c r="AY18" s="1" t="s">
        <v>232</v>
      </c>
      <c r="AZ18" s="1">
        <v>58.0</v>
      </c>
      <c r="BA18" s="1" t="s">
        <v>232</v>
      </c>
      <c r="BB18" s="1">
        <v>28.0</v>
      </c>
      <c r="BC18" s="2">
        <v>49.0</v>
      </c>
      <c r="BD18" s="2">
        <v>60.0</v>
      </c>
      <c r="BE18" s="2">
        <v>49.0</v>
      </c>
      <c r="BF18" s="2">
        <v>59.0</v>
      </c>
      <c r="BG18" s="2">
        <v>73.0</v>
      </c>
      <c r="BH18" s="2">
        <v>33.0</v>
      </c>
      <c r="BI18" s="2">
        <v>38.0</v>
      </c>
      <c r="BJ18" s="2">
        <v>44.0</v>
      </c>
      <c r="BK18" s="2">
        <v>74.0</v>
      </c>
      <c r="BL18" s="2">
        <v>37.0</v>
      </c>
      <c r="BM18" s="2">
        <v>38.0</v>
      </c>
      <c r="BN18" s="2">
        <v>41.0</v>
      </c>
      <c r="BO18" s="2">
        <v>67.0</v>
      </c>
      <c r="BP18" s="2">
        <v>58.0</v>
      </c>
    </row>
    <row r="19">
      <c r="A19" s="11" t="s">
        <v>233</v>
      </c>
      <c r="B19" s="1">
        <v>16.0</v>
      </c>
      <c r="C19" s="1">
        <v>15.0</v>
      </c>
      <c r="D19" s="1"/>
      <c r="E19" s="1">
        <v>3.0</v>
      </c>
      <c r="F19" s="1">
        <v>15.0</v>
      </c>
      <c r="G19" s="1">
        <v>10.0</v>
      </c>
      <c r="H19" s="1">
        <v>8.0</v>
      </c>
      <c r="I19" s="1">
        <v>5.0</v>
      </c>
      <c r="J19" s="1">
        <v>15.0</v>
      </c>
      <c r="K19" s="1">
        <v>14.0</v>
      </c>
      <c r="L19" s="1">
        <v>10.0</v>
      </c>
      <c r="M19" s="1">
        <v>13.0</v>
      </c>
      <c r="N19" s="1">
        <v>10.0</v>
      </c>
      <c r="O19" s="1">
        <v>14.0</v>
      </c>
      <c r="P19" s="1">
        <v>13.0</v>
      </c>
      <c r="Q19" s="1">
        <v>21.0</v>
      </c>
      <c r="R19" s="1">
        <v>7.0</v>
      </c>
      <c r="S19" s="1"/>
      <c r="T19" s="1">
        <v>20.0</v>
      </c>
      <c r="U19" s="1">
        <v>20.0</v>
      </c>
      <c r="V19" s="1">
        <v>12.0</v>
      </c>
      <c r="W19" s="1">
        <v>13.0</v>
      </c>
      <c r="X19" s="1">
        <v>13.0</v>
      </c>
      <c r="Y19" s="1">
        <v>5.0</v>
      </c>
      <c r="Z19" s="1">
        <v>21.0</v>
      </c>
      <c r="AA19" s="1">
        <v>11.0</v>
      </c>
      <c r="AB19" s="1">
        <v>27.0</v>
      </c>
      <c r="AC19" s="1">
        <v>11.0</v>
      </c>
      <c r="AD19" s="1">
        <v>7.0</v>
      </c>
      <c r="AE19" s="1">
        <v>20.0</v>
      </c>
      <c r="AF19" s="1">
        <v>26.0</v>
      </c>
      <c r="AG19" s="1">
        <v>11.0</v>
      </c>
      <c r="AH19" s="1">
        <v>11.0</v>
      </c>
      <c r="AI19" s="1">
        <v>8.0</v>
      </c>
      <c r="AJ19" s="1">
        <v>15.0</v>
      </c>
      <c r="AK19" s="1">
        <v>13.0</v>
      </c>
      <c r="AL19" s="1">
        <v>12.0</v>
      </c>
      <c r="AM19" s="1">
        <v>5.0</v>
      </c>
      <c r="AN19" s="1">
        <v>8.0</v>
      </c>
      <c r="AO19" s="1">
        <v>10.0</v>
      </c>
      <c r="AP19" s="1">
        <v>11.0</v>
      </c>
      <c r="AQ19" s="1">
        <v>10.0</v>
      </c>
      <c r="AR19" s="1">
        <v>5.0</v>
      </c>
      <c r="AS19" s="1">
        <v>8.0</v>
      </c>
      <c r="AT19" s="1">
        <v>7.0</v>
      </c>
      <c r="AU19" s="1">
        <v>12.0</v>
      </c>
      <c r="AV19" s="1">
        <v>9.0</v>
      </c>
      <c r="AW19" s="1">
        <v>21.0</v>
      </c>
      <c r="AX19" s="1">
        <v>17.0</v>
      </c>
      <c r="AY19" s="1" t="s">
        <v>232</v>
      </c>
      <c r="AZ19" s="1">
        <v>20.0</v>
      </c>
      <c r="BA19" s="1" t="s">
        <v>232</v>
      </c>
      <c r="BB19" s="1">
        <v>10.0</v>
      </c>
      <c r="BC19" s="2">
        <v>12.0</v>
      </c>
      <c r="BD19" s="2">
        <v>19.0</v>
      </c>
      <c r="BE19" s="2">
        <v>12.0</v>
      </c>
      <c r="BF19" s="2">
        <v>3.0</v>
      </c>
      <c r="BG19" s="2">
        <v>3.0</v>
      </c>
      <c r="BH19" s="2">
        <v>8.0</v>
      </c>
      <c r="BI19" s="2">
        <v>5.0</v>
      </c>
      <c r="BJ19" s="2">
        <v>2.0</v>
      </c>
      <c r="BK19" s="2">
        <v>13.0</v>
      </c>
      <c r="BM19" s="2">
        <v>1.0</v>
      </c>
      <c r="BN19" s="2">
        <v>4.0</v>
      </c>
      <c r="BO19" s="2">
        <v>13.0</v>
      </c>
      <c r="BP19" s="2">
        <v>24.0</v>
      </c>
    </row>
    <row r="20">
      <c r="A20" s="11" t="s">
        <v>234</v>
      </c>
      <c r="B20" s="1">
        <v>51.0</v>
      </c>
      <c r="C20" s="1">
        <v>57.0</v>
      </c>
      <c r="D20" s="1"/>
      <c r="E20" s="1">
        <v>53.0</v>
      </c>
      <c r="F20" s="1">
        <v>36.0</v>
      </c>
      <c r="G20" s="1">
        <v>52.0</v>
      </c>
      <c r="H20" s="1">
        <v>54.0</v>
      </c>
      <c r="I20" s="1">
        <v>32.0</v>
      </c>
      <c r="J20" s="1">
        <v>50.0</v>
      </c>
      <c r="K20" s="1">
        <v>68.0</v>
      </c>
      <c r="L20" s="1">
        <v>41.0</v>
      </c>
      <c r="M20" s="1">
        <v>35.0</v>
      </c>
      <c r="N20" s="1">
        <v>54.0</v>
      </c>
      <c r="O20" s="1">
        <v>78.0</v>
      </c>
      <c r="P20" s="1">
        <v>85.0</v>
      </c>
      <c r="Q20" s="1">
        <v>60.0</v>
      </c>
      <c r="R20" s="1">
        <v>24.0</v>
      </c>
      <c r="S20" s="1"/>
      <c r="T20" s="1">
        <v>50.0</v>
      </c>
      <c r="U20" s="1">
        <v>48.0</v>
      </c>
      <c r="V20" s="1">
        <v>45.0</v>
      </c>
      <c r="W20" s="1">
        <v>64.0</v>
      </c>
      <c r="X20" s="1">
        <v>49.0</v>
      </c>
      <c r="Y20" s="1">
        <v>42.0</v>
      </c>
      <c r="Z20" s="1">
        <v>56.0</v>
      </c>
      <c r="AA20" s="1">
        <v>38.0</v>
      </c>
      <c r="AB20" s="1">
        <v>47.0</v>
      </c>
      <c r="AC20" s="1">
        <v>51.0</v>
      </c>
      <c r="AD20" s="1">
        <v>63.0</v>
      </c>
      <c r="AE20" s="1">
        <v>68.0</v>
      </c>
      <c r="AF20" s="1">
        <v>64.0</v>
      </c>
      <c r="AG20" s="1">
        <v>65.0</v>
      </c>
      <c r="AH20" s="1">
        <v>53.0</v>
      </c>
      <c r="AI20" s="1">
        <v>70.0</v>
      </c>
      <c r="AJ20" s="1">
        <v>38.0</v>
      </c>
      <c r="AK20" s="1">
        <v>66.0</v>
      </c>
      <c r="AL20" s="1">
        <v>68.0</v>
      </c>
      <c r="AM20" s="1">
        <v>60.0</v>
      </c>
      <c r="AN20" s="1">
        <v>42.0</v>
      </c>
      <c r="AO20" s="1">
        <v>47.0</v>
      </c>
      <c r="AP20" s="1">
        <v>45.0</v>
      </c>
      <c r="AQ20" s="1">
        <v>50.0</v>
      </c>
      <c r="AR20" s="1">
        <v>46.0</v>
      </c>
      <c r="AS20" s="1">
        <v>56.0</v>
      </c>
      <c r="AT20" s="1">
        <v>52.0</v>
      </c>
      <c r="AU20" s="1">
        <v>47.0</v>
      </c>
      <c r="AV20" s="1">
        <v>58.0</v>
      </c>
      <c r="AW20" s="1">
        <v>65.0</v>
      </c>
      <c r="AX20" s="1">
        <v>70.0</v>
      </c>
      <c r="AY20" s="1">
        <v>61.0</v>
      </c>
      <c r="AZ20" s="1">
        <v>58.0</v>
      </c>
      <c r="BA20" s="1">
        <v>32.0</v>
      </c>
      <c r="BB20" s="1">
        <v>30.0</v>
      </c>
      <c r="BC20" s="2">
        <v>54.0</v>
      </c>
      <c r="BD20" s="2">
        <v>60.0</v>
      </c>
      <c r="BE20" s="2">
        <v>54.0</v>
      </c>
      <c r="BF20" s="2">
        <v>60.0</v>
      </c>
      <c r="BG20" s="2">
        <v>68.0</v>
      </c>
      <c r="BH20" s="2">
        <v>36.0</v>
      </c>
      <c r="BI20" s="2">
        <v>44.0</v>
      </c>
      <c r="BJ20" s="2">
        <v>46.0</v>
      </c>
      <c r="BK20" s="2">
        <v>74.0</v>
      </c>
      <c r="BL20" s="2">
        <v>31.0</v>
      </c>
      <c r="BM20" s="2">
        <v>34.0</v>
      </c>
      <c r="BN20" s="2">
        <v>41.0</v>
      </c>
      <c r="BO20" s="2">
        <v>75.0</v>
      </c>
      <c r="BP20" s="2">
        <v>64.0</v>
      </c>
    </row>
    <row r="21" ht="15.75" customHeight="1">
      <c r="A21" s="11" t="s">
        <v>235</v>
      </c>
      <c r="B21" s="1">
        <v>27.0</v>
      </c>
      <c r="C21" s="1">
        <v>33.0</v>
      </c>
      <c r="D21" s="1"/>
      <c r="E21" s="1">
        <v>21.0</v>
      </c>
      <c r="F21" s="1">
        <v>20.0</v>
      </c>
      <c r="G21" s="1">
        <v>38.0</v>
      </c>
      <c r="H21" s="1">
        <v>28.0</v>
      </c>
      <c r="I21" s="1">
        <v>19.0</v>
      </c>
      <c r="J21" s="1">
        <v>25.0</v>
      </c>
      <c r="K21" s="1">
        <v>42.0</v>
      </c>
      <c r="L21" s="1">
        <v>20.0</v>
      </c>
      <c r="M21" s="1">
        <v>20.0</v>
      </c>
      <c r="N21" s="1">
        <v>22.0</v>
      </c>
      <c r="O21" s="1">
        <v>36.0</v>
      </c>
      <c r="P21" s="1">
        <v>50.0</v>
      </c>
      <c r="Q21" s="1">
        <v>28.0</v>
      </c>
      <c r="R21" s="1">
        <v>13.0</v>
      </c>
      <c r="S21" s="1"/>
      <c r="T21" s="1">
        <v>21.0</v>
      </c>
      <c r="U21" s="1">
        <v>20.0</v>
      </c>
      <c r="V21" s="1">
        <v>30.0</v>
      </c>
      <c r="W21" s="1">
        <v>31.0</v>
      </c>
      <c r="X21" s="1">
        <v>21.0</v>
      </c>
      <c r="Y21" s="1">
        <v>15.0</v>
      </c>
      <c r="Z21" s="1">
        <v>32.0</v>
      </c>
      <c r="AA21" s="1">
        <v>25.0</v>
      </c>
      <c r="AB21" s="1">
        <v>30.0</v>
      </c>
      <c r="AC21" s="1">
        <v>15.0</v>
      </c>
      <c r="AD21" s="1">
        <v>29.0</v>
      </c>
      <c r="AE21" s="1">
        <v>39.0</v>
      </c>
      <c r="AF21" s="1">
        <v>33.0</v>
      </c>
      <c r="AG21" s="1">
        <v>39.0</v>
      </c>
      <c r="AH21" s="1">
        <v>31.0</v>
      </c>
      <c r="AI21" s="1">
        <v>24.0</v>
      </c>
      <c r="AJ21" s="1">
        <v>25.0</v>
      </c>
      <c r="AK21" s="1">
        <v>27.0</v>
      </c>
      <c r="AL21" s="1">
        <v>29.0</v>
      </c>
      <c r="AM21" s="1">
        <v>35.0</v>
      </c>
      <c r="AN21" s="1">
        <v>21.0</v>
      </c>
      <c r="AO21" s="1">
        <v>30.0</v>
      </c>
      <c r="AP21" s="1">
        <v>28.0</v>
      </c>
      <c r="AQ21" s="1">
        <v>28.0</v>
      </c>
      <c r="AR21" s="1">
        <v>19.0</v>
      </c>
      <c r="AS21" s="1">
        <v>34.0</v>
      </c>
      <c r="AT21" s="1">
        <v>27.0</v>
      </c>
      <c r="AU21" s="1">
        <v>16.0</v>
      </c>
      <c r="AV21" s="1">
        <v>25.0</v>
      </c>
      <c r="AW21" s="1">
        <v>34.0</v>
      </c>
      <c r="AX21" s="1">
        <v>32.0</v>
      </c>
      <c r="AY21" s="1">
        <v>28.0</v>
      </c>
      <c r="AZ21" s="1">
        <v>30.0</v>
      </c>
      <c r="BA21" s="1">
        <v>17.0</v>
      </c>
      <c r="BB21" s="1">
        <v>19.0</v>
      </c>
      <c r="BC21" s="2">
        <v>30.0</v>
      </c>
      <c r="BD21" s="2">
        <v>30.0</v>
      </c>
      <c r="BE21" s="2">
        <v>30.0</v>
      </c>
      <c r="BF21" s="2">
        <v>22.0</v>
      </c>
      <c r="BG21" s="2">
        <v>31.0</v>
      </c>
      <c r="BH21" s="2">
        <v>21.0</v>
      </c>
      <c r="BI21" s="2">
        <v>23.0</v>
      </c>
      <c r="BJ21" s="2">
        <v>19.0</v>
      </c>
      <c r="BK21" s="2">
        <v>40.0</v>
      </c>
      <c r="BL21" s="2">
        <v>13.0</v>
      </c>
      <c r="BM21" s="2">
        <v>16.0</v>
      </c>
      <c r="BN21" s="2">
        <v>12.0</v>
      </c>
      <c r="BO21" s="2">
        <v>46.0</v>
      </c>
      <c r="BP21" s="2">
        <v>43.0</v>
      </c>
    </row>
    <row r="22" ht="15.75" customHeight="1">
      <c r="A22" s="3" t="s">
        <v>236</v>
      </c>
      <c r="B22" s="2">
        <v>35.0</v>
      </c>
      <c r="C22" s="2">
        <v>43.0</v>
      </c>
      <c r="E22" s="2">
        <v>34.0</v>
      </c>
      <c r="F22" s="2">
        <v>26.0</v>
      </c>
      <c r="G22" s="2">
        <v>42.0</v>
      </c>
      <c r="H22" s="2">
        <v>36.0</v>
      </c>
      <c r="I22" s="2">
        <v>23.0</v>
      </c>
      <c r="J22" s="2">
        <v>39.0</v>
      </c>
      <c r="K22" s="2">
        <v>50.0</v>
      </c>
      <c r="L22" s="2">
        <v>27.0</v>
      </c>
      <c r="M22" s="2">
        <v>26.0</v>
      </c>
      <c r="N22" s="2">
        <v>37.0</v>
      </c>
      <c r="O22" s="2">
        <v>50.0</v>
      </c>
      <c r="P22" s="2">
        <v>62.0</v>
      </c>
      <c r="Q22" s="2">
        <v>38.0</v>
      </c>
      <c r="R22" s="2">
        <v>17.0</v>
      </c>
      <c r="T22" s="2">
        <v>31.0</v>
      </c>
      <c r="U22" s="2">
        <v>30.0</v>
      </c>
      <c r="V22" s="2">
        <v>35.0</v>
      </c>
      <c r="W22" s="2">
        <v>42.0</v>
      </c>
      <c r="X22" s="2">
        <v>29.0</v>
      </c>
      <c r="Y22" s="2">
        <v>22.0</v>
      </c>
      <c r="Z22" s="2">
        <v>40.0</v>
      </c>
      <c r="AA22" s="2">
        <v>29.0</v>
      </c>
      <c r="AB22" s="2">
        <v>36.0</v>
      </c>
      <c r="AC22" s="2">
        <v>26.0</v>
      </c>
      <c r="AD22" s="2">
        <v>37.0</v>
      </c>
      <c r="AE22" s="2">
        <v>50.0</v>
      </c>
      <c r="AF22" s="2">
        <v>47.0</v>
      </c>
      <c r="AG22" s="2">
        <v>48.0</v>
      </c>
      <c r="AH22" s="2">
        <v>39.0</v>
      </c>
      <c r="AI22" s="2">
        <v>39.0</v>
      </c>
      <c r="AJ22" s="2">
        <v>30.0</v>
      </c>
      <c r="AK22" s="2">
        <v>40.0</v>
      </c>
      <c r="AL22" s="2">
        <v>44.0</v>
      </c>
      <c r="AM22" s="2">
        <v>43.0</v>
      </c>
      <c r="AN22" s="2">
        <v>28.0</v>
      </c>
      <c r="AO22" s="2">
        <v>37.0</v>
      </c>
      <c r="AP22" s="2">
        <v>34.0</v>
      </c>
      <c r="AQ22" s="2">
        <v>35.0</v>
      </c>
      <c r="AR22" s="2">
        <v>28.0</v>
      </c>
      <c r="AS22" s="2">
        <v>41.0</v>
      </c>
      <c r="AT22" s="2">
        <v>37.0</v>
      </c>
      <c r="AU22" s="2">
        <v>31.0</v>
      </c>
      <c r="AV22" s="2">
        <v>35.0</v>
      </c>
      <c r="AW22" s="2">
        <v>44.0</v>
      </c>
      <c r="AX22" s="2">
        <v>48.0</v>
      </c>
      <c r="AY22" s="2">
        <v>40.0</v>
      </c>
      <c r="AZ22" s="2">
        <v>40.0</v>
      </c>
      <c r="BA22" s="2">
        <v>24.0</v>
      </c>
      <c r="BB22" s="2">
        <v>25.0</v>
      </c>
      <c r="BC22" s="2">
        <v>38.0</v>
      </c>
      <c r="BD22" s="2">
        <v>45.0</v>
      </c>
      <c r="BE22" s="2">
        <v>38.0</v>
      </c>
      <c r="BF22" s="2">
        <v>37.0</v>
      </c>
      <c r="BG22" s="2">
        <v>42.0</v>
      </c>
      <c r="BH22" s="2">
        <v>26.0</v>
      </c>
      <c r="BI22" s="2">
        <v>30.0</v>
      </c>
      <c r="BJ22" s="2">
        <v>31.0</v>
      </c>
      <c r="BK22" s="2">
        <v>51.0</v>
      </c>
      <c r="BL22" s="2">
        <v>19.0</v>
      </c>
      <c r="BM22" s="2">
        <v>25.0</v>
      </c>
      <c r="BN22" s="2">
        <v>23.0</v>
      </c>
      <c r="BO22" s="2">
        <v>54.0</v>
      </c>
      <c r="BP22" s="2">
        <v>50.0</v>
      </c>
    </row>
    <row r="23" ht="15.75" customHeight="1">
      <c r="A23" s="11" t="s">
        <v>237</v>
      </c>
      <c r="B23" s="1">
        <v>22.0</v>
      </c>
      <c r="C23" s="1">
        <v>33.0</v>
      </c>
      <c r="D23" s="1"/>
      <c r="E23" s="1">
        <v>22.0</v>
      </c>
      <c r="F23" s="1">
        <v>20.0</v>
      </c>
      <c r="G23" s="1">
        <v>38.0</v>
      </c>
      <c r="H23" s="1">
        <v>26.0</v>
      </c>
      <c r="I23" s="1">
        <v>16.0</v>
      </c>
      <c r="J23" s="1">
        <v>28.0</v>
      </c>
      <c r="K23" s="1">
        <v>38.0</v>
      </c>
      <c r="L23" s="1">
        <v>22.0</v>
      </c>
      <c r="M23" s="1">
        <v>19.0</v>
      </c>
      <c r="N23" s="1">
        <v>26.0</v>
      </c>
      <c r="O23" s="1">
        <v>29.0</v>
      </c>
      <c r="P23" s="1">
        <v>50.0</v>
      </c>
      <c r="Q23" s="1">
        <v>28.0</v>
      </c>
      <c r="R23" s="1">
        <v>11.0</v>
      </c>
      <c r="S23" s="1"/>
      <c r="T23" s="1">
        <v>22.0</v>
      </c>
      <c r="U23" s="1">
        <v>25.0</v>
      </c>
      <c r="V23" s="1">
        <v>27.0</v>
      </c>
      <c r="W23" s="1">
        <v>30.0</v>
      </c>
      <c r="X23" s="1">
        <v>21.0</v>
      </c>
      <c r="Y23" s="1">
        <v>14.0</v>
      </c>
      <c r="Z23" s="1">
        <v>30.0</v>
      </c>
      <c r="AA23" s="1">
        <v>27.0</v>
      </c>
      <c r="AB23" s="1">
        <v>32.0</v>
      </c>
      <c r="AC23" s="1">
        <v>19.0</v>
      </c>
      <c r="AD23" s="1">
        <v>40.0</v>
      </c>
      <c r="AE23" s="1">
        <v>39.0</v>
      </c>
      <c r="AF23" s="1">
        <v>29.0</v>
      </c>
      <c r="AG23" s="1">
        <v>30.0</v>
      </c>
      <c r="AH23" s="1">
        <v>23.0</v>
      </c>
      <c r="AI23" s="1">
        <v>20.0</v>
      </c>
      <c r="AJ23" s="1">
        <v>30.0</v>
      </c>
      <c r="AK23" s="1">
        <v>24.0</v>
      </c>
      <c r="AL23" s="1">
        <v>34.0</v>
      </c>
      <c r="AM23" s="1">
        <v>28.0</v>
      </c>
      <c r="AN23" s="1">
        <v>15.0</v>
      </c>
      <c r="AO23" s="1">
        <v>20.0</v>
      </c>
      <c r="AP23" s="1">
        <v>25.0</v>
      </c>
      <c r="AQ23" s="1">
        <v>22.0</v>
      </c>
      <c r="AR23" s="1">
        <v>20.0</v>
      </c>
      <c r="AS23" s="1">
        <v>28.0</v>
      </c>
      <c r="AT23" s="1">
        <v>26.0</v>
      </c>
      <c r="AU23" s="1">
        <v>18.0</v>
      </c>
      <c r="AV23" s="1">
        <v>25.0</v>
      </c>
      <c r="AW23" s="1">
        <v>23.0</v>
      </c>
      <c r="AX23" s="1">
        <v>32.0</v>
      </c>
      <c r="AY23" s="1">
        <v>33.0</v>
      </c>
      <c r="AZ23" s="1">
        <v>32.0</v>
      </c>
      <c r="BA23" s="1">
        <v>17.0</v>
      </c>
      <c r="BB23" s="1">
        <v>22.0</v>
      </c>
      <c r="BC23" s="2">
        <v>27.0</v>
      </c>
      <c r="BD23" s="2">
        <v>31.0</v>
      </c>
      <c r="BE23" s="2">
        <v>27.0</v>
      </c>
      <c r="BF23" s="2">
        <v>25.0</v>
      </c>
      <c r="BG23" s="2">
        <v>27.0</v>
      </c>
      <c r="BH23" s="2">
        <v>23.0</v>
      </c>
      <c r="BI23" s="2">
        <v>24.0</v>
      </c>
      <c r="BJ23" s="2">
        <v>27.0</v>
      </c>
      <c r="BK23" s="2">
        <v>36.0</v>
      </c>
      <c r="BL23" s="2">
        <v>11.0</v>
      </c>
      <c r="BM23" s="2">
        <v>16.0</v>
      </c>
      <c r="BN23" s="2">
        <v>9.0</v>
      </c>
      <c r="BO23" s="2">
        <v>38.0</v>
      </c>
      <c r="BP23" s="2">
        <v>37.0</v>
      </c>
    </row>
    <row r="24" ht="15.75" customHeight="1">
      <c r="A24" s="3" t="s">
        <v>238</v>
      </c>
      <c r="B24" s="2">
        <f t="shared" ref="B24:BP24" si="1">(B22-B23)/B29</f>
        <v>2.131147541</v>
      </c>
      <c r="C24" s="2">
        <f t="shared" si="1"/>
        <v>3.03030303</v>
      </c>
      <c r="D24" s="2" t="str">
        <f t="shared" si="1"/>
        <v>#DIV/0!</v>
      </c>
      <c r="E24" s="2">
        <f t="shared" si="1"/>
        <v>3.022670025</v>
      </c>
      <c r="F24" s="2">
        <f t="shared" si="1"/>
        <v>1.699716714</v>
      </c>
      <c r="G24" s="2">
        <f t="shared" si="1"/>
        <v>1.111111111</v>
      </c>
      <c r="H24" s="2">
        <f t="shared" si="1"/>
        <v>3.571428571</v>
      </c>
      <c r="I24" s="2">
        <f t="shared" si="1"/>
        <v>1.627906977</v>
      </c>
      <c r="J24" s="2">
        <f t="shared" si="1"/>
        <v>2.444444444</v>
      </c>
      <c r="K24" s="2">
        <f t="shared" si="1"/>
        <v>2.836879433</v>
      </c>
      <c r="L24" s="2">
        <f t="shared" si="1"/>
        <v>1.291989664</v>
      </c>
      <c r="M24" s="2">
        <f t="shared" si="1"/>
        <v>2.040816327</v>
      </c>
      <c r="N24" s="2">
        <f t="shared" si="1"/>
        <v>4.680851064</v>
      </c>
      <c r="O24" s="2">
        <f t="shared" si="1"/>
        <v>7.24137931</v>
      </c>
      <c r="P24" s="2">
        <f t="shared" si="1"/>
        <v>2.076124567</v>
      </c>
      <c r="Q24" s="2">
        <f t="shared" si="1"/>
        <v>2.43902439</v>
      </c>
      <c r="R24" s="2">
        <f t="shared" si="1"/>
        <v>1.729106628</v>
      </c>
      <c r="S24" s="2" t="str">
        <f t="shared" si="1"/>
        <v>#DIV/0!</v>
      </c>
      <c r="T24" s="2">
        <f t="shared" si="1"/>
        <v>2.013422819</v>
      </c>
      <c r="U24" s="2">
        <f t="shared" si="1"/>
        <v>1.742160279</v>
      </c>
      <c r="V24" s="2">
        <f t="shared" si="1"/>
        <v>2.247191011</v>
      </c>
      <c r="W24" s="2">
        <f t="shared" si="1"/>
        <v>2.068965517</v>
      </c>
      <c r="X24" s="2">
        <f t="shared" si="1"/>
        <v>2.44648318</v>
      </c>
      <c r="Y24" s="2">
        <f t="shared" si="1"/>
        <v>1.70212766</v>
      </c>
      <c r="Z24" s="2">
        <f t="shared" si="1"/>
        <v>2.188183807</v>
      </c>
      <c r="AA24" s="2">
        <f t="shared" si="1"/>
        <v>0.4319654428</v>
      </c>
      <c r="AB24" s="2">
        <f t="shared" si="1"/>
        <v>1.428571429</v>
      </c>
      <c r="AC24" s="2">
        <f t="shared" si="1"/>
        <v>2.564102564</v>
      </c>
      <c r="AD24" s="2">
        <f t="shared" si="1"/>
        <v>-0.7894736842</v>
      </c>
      <c r="AE24" s="2">
        <f t="shared" si="1"/>
        <v>3.03030303</v>
      </c>
      <c r="AF24" s="2">
        <f t="shared" si="1"/>
        <v>9.473684211</v>
      </c>
      <c r="AG24" s="2">
        <f t="shared" si="1"/>
        <v>4.615384615</v>
      </c>
      <c r="AH24" s="2">
        <f t="shared" si="1"/>
        <v>9.039548023</v>
      </c>
      <c r="AI24" s="2">
        <f t="shared" si="1"/>
        <v>4.337899543</v>
      </c>
      <c r="AJ24" s="2">
        <f t="shared" si="1"/>
        <v>0</v>
      </c>
      <c r="AK24" s="2">
        <f t="shared" si="1"/>
        <v>2.698145025</v>
      </c>
      <c r="AL24" s="2">
        <f t="shared" si="1"/>
        <v>3.095975232</v>
      </c>
      <c r="AM24" s="2">
        <f t="shared" si="1"/>
        <v>4.643962848</v>
      </c>
      <c r="AN24" s="2">
        <f t="shared" si="1"/>
        <v>9.77443609</v>
      </c>
      <c r="AO24" s="2">
        <f t="shared" si="1"/>
        <v>2.236842105</v>
      </c>
      <c r="AP24" s="2">
        <f t="shared" si="1"/>
        <v>1.559792028</v>
      </c>
      <c r="AQ24" s="2">
        <f t="shared" si="1"/>
        <v>2.974828375</v>
      </c>
      <c r="AR24" s="2">
        <f t="shared" si="1"/>
        <v>2.222222222</v>
      </c>
      <c r="AS24" s="2">
        <f t="shared" si="1"/>
        <v>4.482758621</v>
      </c>
      <c r="AT24" s="2">
        <f t="shared" si="1"/>
        <v>5</v>
      </c>
      <c r="AU24" s="2">
        <f t="shared" si="1"/>
        <v>2.18487395</v>
      </c>
      <c r="AV24" s="2">
        <f t="shared" si="1"/>
        <v>2.840909091</v>
      </c>
      <c r="AW24" s="2">
        <f t="shared" si="1"/>
        <v>5.035971223</v>
      </c>
      <c r="AX24" s="2">
        <f t="shared" si="1"/>
        <v>4.444444444</v>
      </c>
      <c r="AY24" s="2">
        <f t="shared" si="1"/>
        <v>1.616628176</v>
      </c>
      <c r="AZ24" s="2">
        <f t="shared" si="1"/>
        <v>2.666666667</v>
      </c>
      <c r="BA24" s="2">
        <f t="shared" si="1"/>
        <v>3.043478261</v>
      </c>
      <c r="BB24" s="2">
        <f t="shared" si="1"/>
        <v>0.9090909091</v>
      </c>
      <c r="BC24" s="2">
        <f t="shared" si="1"/>
        <v>2.75</v>
      </c>
      <c r="BD24" s="2">
        <f t="shared" si="1"/>
        <v>4.057971014</v>
      </c>
      <c r="BE24" s="2">
        <f t="shared" si="1"/>
        <v>2.729528536</v>
      </c>
      <c r="BF24" s="2">
        <f t="shared" si="1"/>
        <v>2.434077079</v>
      </c>
      <c r="BG24" s="2">
        <f t="shared" si="1"/>
        <v>4.132231405</v>
      </c>
      <c r="BH24" s="2">
        <f t="shared" si="1"/>
        <v>0.7894736842</v>
      </c>
      <c r="BI24" s="2">
        <f t="shared" si="1"/>
        <v>1.363636364</v>
      </c>
      <c r="BJ24" s="2">
        <f t="shared" si="1"/>
        <v>1.136363636</v>
      </c>
      <c r="BK24" s="2">
        <f t="shared" si="1"/>
        <v>4.504504505</v>
      </c>
      <c r="BL24" s="2">
        <f t="shared" si="1"/>
        <v>1.410934744</v>
      </c>
      <c r="BM24" s="2">
        <f t="shared" si="1"/>
        <v>1.688555347</v>
      </c>
      <c r="BN24" s="2">
        <f t="shared" si="1"/>
        <v>2.26904376</v>
      </c>
      <c r="BO24" s="2">
        <f t="shared" si="1"/>
        <v>8.205128205</v>
      </c>
      <c r="BP24" s="2">
        <f t="shared" si="1"/>
        <v>2.826086957</v>
      </c>
    </row>
    <row r="25" ht="15.75" customHeight="1">
      <c r="A25" s="11" t="s">
        <v>239</v>
      </c>
      <c r="B25" s="1">
        <v>111.0</v>
      </c>
      <c r="C25" s="1">
        <v>97.0</v>
      </c>
      <c r="D25" s="1"/>
      <c r="E25" s="1">
        <v>110.0</v>
      </c>
      <c r="F25" s="1">
        <v>97.0</v>
      </c>
      <c r="G25" s="1">
        <v>90.0</v>
      </c>
      <c r="H25" s="1">
        <v>103.0</v>
      </c>
      <c r="I25" s="1">
        <v>110.0</v>
      </c>
      <c r="J25" s="1">
        <v>90.0</v>
      </c>
      <c r="K25" s="1">
        <v>157.0</v>
      </c>
      <c r="L25" s="1">
        <v>119.0</v>
      </c>
      <c r="M25" s="1">
        <v>86.0</v>
      </c>
      <c r="N25" s="1">
        <v>118.0</v>
      </c>
      <c r="O25" s="1">
        <v>101.0</v>
      </c>
      <c r="P25" s="1">
        <v>136.0</v>
      </c>
      <c r="Q25" s="1">
        <v>115.0</v>
      </c>
      <c r="R25" s="1">
        <v>111.0</v>
      </c>
      <c r="S25" s="1"/>
      <c r="T25" s="1">
        <v>106.0</v>
      </c>
      <c r="U25" s="1">
        <v>109.0</v>
      </c>
      <c r="V25" s="1">
        <v>121.0</v>
      </c>
      <c r="W25" s="1">
        <v>124.0</v>
      </c>
      <c r="X25" s="1">
        <v>115.0</v>
      </c>
      <c r="Y25" s="1">
        <v>123.0</v>
      </c>
      <c r="Z25" s="1">
        <v>109.0</v>
      </c>
      <c r="AA25" s="1">
        <v>93.0</v>
      </c>
      <c r="AB25" s="1">
        <v>94.0</v>
      </c>
      <c r="AC25" s="1">
        <v>136.0</v>
      </c>
      <c r="AD25" s="1">
        <v>94.0</v>
      </c>
      <c r="AE25" s="1">
        <v>109.0</v>
      </c>
      <c r="AF25" s="1">
        <v>114.0</v>
      </c>
      <c r="AG25" s="1">
        <v>127.0</v>
      </c>
      <c r="AH25" s="1">
        <v>88.0</v>
      </c>
      <c r="AI25" s="1">
        <v>114.0</v>
      </c>
      <c r="AJ25" s="1">
        <v>115.0</v>
      </c>
      <c r="AK25" s="1">
        <v>168.0</v>
      </c>
      <c r="AL25" s="1">
        <v>107.0</v>
      </c>
      <c r="AM25" s="1">
        <v>111.0</v>
      </c>
      <c r="AN25" s="1">
        <v>84.0</v>
      </c>
      <c r="AO25" s="1">
        <v>97.0</v>
      </c>
      <c r="AP25" s="1">
        <v>130.0</v>
      </c>
      <c r="AQ25" s="1">
        <v>101.0</v>
      </c>
      <c r="AR25" s="1">
        <v>101.0</v>
      </c>
      <c r="AS25" s="1">
        <v>88.0</v>
      </c>
      <c r="AT25" s="1">
        <v>117.0</v>
      </c>
      <c r="AU25" s="1">
        <v>107.0</v>
      </c>
      <c r="AV25" s="1">
        <v>125.0</v>
      </c>
      <c r="AW25" s="1">
        <v>112.0</v>
      </c>
      <c r="AX25" s="1">
        <v>130.0</v>
      </c>
      <c r="AY25" s="1">
        <v>86.0</v>
      </c>
      <c r="AZ25" s="1">
        <v>117.0</v>
      </c>
      <c r="BA25" s="1">
        <v>104.0</v>
      </c>
      <c r="BB25" s="1">
        <v>133.0</v>
      </c>
      <c r="BC25" s="2">
        <v>112.0</v>
      </c>
      <c r="BD25" s="2">
        <v>117.0</v>
      </c>
      <c r="BE25" s="2">
        <v>112.0</v>
      </c>
      <c r="BF25" s="2">
        <v>110.0</v>
      </c>
      <c r="BG25" s="2">
        <v>99.0</v>
      </c>
      <c r="BH25" s="2">
        <v>104.0</v>
      </c>
      <c r="BI25" s="2">
        <v>95.0</v>
      </c>
      <c r="BJ25" s="2">
        <v>103.0</v>
      </c>
      <c r="BK25" s="2">
        <v>112.0</v>
      </c>
      <c r="BL25" s="2">
        <v>103.0</v>
      </c>
      <c r="BM25" s="2">
        <v>113.0</v>
      </c>
      <c r="BN25" s="2">
        <v>126.0</v>
      </c>
      <c r="BO25" s="2">
        <v>123.0</v>
      </c>
      <c r="BP25" s="2">
        <v>118.0</v>
      </c>
    </row>
    <row r="26" ht="15.75" customHeight="1">
      <c r="A26" s="11" t="s">
        <v>240</v>
      </c>
      <c r="B26" s="1">
        <v>65.0</v>
      </c>
      <c r="C26" s="1">
        <v>76.0</v>
      </c>
      <c r="D26" s="1"/>
      <c r="E26" s="1">
        <v>72.0</v>
      </c>
      <c r="F26" s="1">
        <v>68.0</v>
      </c>
      <c r="G26" s="1">
        <v>59.0</v>
      </c>
      <c r="H26" s="1">
        <v>59.0</v>
      </c>
      <c r="I26" s="1">
        <v>70.0</v>
      </c>
      <c r="J26" s="1">
        <v>56.0</v>
      </c>
      <c r="K26" s="1">
        <v>104.0</v>
      </c>
      <c r="L26" s="1">
        <v>75.0</v>
      </c>
      <c r="M26" s="1">
        <v>48.0</v>
      </c>
      <c r="N26" s="1">
        <v>58.0</v>
      </c>
      <c r="O26" s="1">
        <v>67.0</v>
      </c>
      <c r="P26" s="1">
        <v>75.0</v>
      </c>
      <c r="Q26" s="1">
        <v>77.0</v>
      </c>
      <c r="R26" s="1">
        <v>74.0</v>
      </c>
      <c r="S26" s="1"/>
      <c r="T26" s="1">
        <v>69.0</v>
      </c>
      <c r="U26" s="1">
        <v>59.0</v>
      </c>
      <c r="V26" s="1">
        <v>87.0</v>
      </c>
      <c r="W26" s="1">
        <v>65.0</v>
      </c>
      <c r="X26" s="1">
        <v>57.0</v>
      </c>
      <c r="Y26" s="1">
        <v>51.0</v>
      </c>
      <c r="Z26" s="1">
        <v>69.0</v>
      </c>
      <c r="AA26" s="1">
        <v>62.0</v>
      </c>
      <c r="AB26" s="1">
        <v>65.0</v>
      </c>
      <c r="AC26" s="1">
        <v>61.0</v>
      </c>
      <c r="AD26" s="1">
        <v>66.0</v>
      </c>
      <c r="AE26" s="1">
        <v>58.0</v>
      </c>
      <c r="AF26" s="1">
        <v>82.0</v>
      </c>
      <c r="AG26" s="1">
        <v>60.0</v>
      </c>
      <c r="AH26" s="1">
        <v>70.0</v>
      </c>
      <c r="AI26" s="1">
        <v>55.0</v>
      </c>
      <c r="AJ26" s="1">
        <v>74.0</v>
      </c>
      <c r="AK26" s="1">
        <v>85.0</v>
      </c>
      <c r="AL26" s="1">
        <v>76.0</v>
      </c>
      <c r="AM26" s="1">
        <v>79.0</v>
      </c>
      <c r="AN26" s="1">
        <v>60.0</v>
      </c>
      <c r="AO26" s="1">
        <v>56.0</v>
      </c>
      <c r="AP26" s="1">
        <v>74.0</v>
      </c>
      <c r="AQ26" s="1">
        <v>97.0</v>
      </c>
      <c r="AR26" s="1">
        <v>57.0</v>
      </c>
      <c r="AS26" s="1">
        <v>64.0</v>
      </c>
      <c r="AT26" s="1">
        <v>94.0</v>
      </c>
      <c r="AU26" s="1">
        <v>50.0</v>
      </c>
      <c r="AV26" s="1">
        <v>55.0</v>
      </c>
      <c r="AW26" s="1">
        <v>65.0</v>
      </c>
      <c r="AX26" s="1">
        <v>78.0</v>
      </c>
      <c r="AY26" s="1">
        <v>72.0</v>
      </c>
      <c r="AZ26" s="1">
        <v>89.0</v>
      </c>
      <c r="BA26" s="1">
        <v>39.0</v>
      </c>
      <c r="BB26" s="1">
        <v>88.0</v>
      </c>
      <c r="BC26" s="2">
        <v>60.0</v>
      </c>
      <c r="BD26" s="2">
        <v>73.0</v>
      </c>
      <c r="BE26" s="2">
        <v>60.0</v>
      </c>
      <c r="BF26" s="2">
        <v>58.0</v>
      </c>
      <c r="BG26" s="2">
        <v>50.0</v>
      </c>
      <c r="BH26" s="2">
        <v>93.0</v>
      </c>
      <c r="BI26" s="2">
        <v>65.0</v>
      </c>
      <c r="BJ26" s="2">
        <v>65.0</v>
      </c>
      <c r="BK26" s="2">
        <v>70.0</v>
      </c>
      <c r="BL26" s="2">
        <v>59.0</v>
      </c>
      <c r="BM26" s="2">
        <v>82.0</v>
      </c>
      <c r="BN26" s="2">
        <v>77.0</v>
      </c>
      <c r="BO26" s="2">
        <v>76.0</v>
      </c>
      <c r="BP26" s="2">
        <v>63.0</v>
      </c>
    </row>
    <row r="27" ht="15.75" customHeight="1">
      <c r="A27" s="3" t="s">
        <v>241</v>
      </c>
      <c r="B27" s="1">
        <f t="shared" ref="B27:BP27" si="2">((2/3)*B26+(1/3)*B25)</f>
        <v>80.33333333</v>
      </c>
      <c r="C27" s="1">
        <f t="shared" si="2"/>
        <v>83</v>
      </c>
      <c r="D27" s="1">
        <f t="shared" si="2"/>
        <v>0</v>
      </c>
      <c r="E27" s="1">
        <f t="shared" si="2"/>
        <v>84.66666667</v>
      </c>
      <c r="F27" s="1">
        <f t="shared" si="2"/>
        <v>77.66666667</v>
      </c>
      <c r="G27" s="1">
        <f t="shared" si="2"/>
        <v>69.33333333</v>
      </c>
      <c r="H27" s="1">
        <f t="shared" si="2"/>
        <v>73.66666667</v>
      </c>
      <c r="I27" s="1">
        <f t="shared" si="2"/>
        <v>83.33333333</v>
      </c>
      <c r="J27" s="1">
        <f t="shared" si="2"/>
        <v>67.33333333</v>
      </c>
      <c r="K27" s="1">
        <f t="shared" si="2"/>
        <v>121.6666667</v>
      </c>
      <c r="L27" s="1">
        <f t="shared" si="2"/>
        <v>89.66666667</v>
      </c>
      <c r="M27" s="1">
        <f t="shared" si="2"/>
        <v>60.66666667</v>
      </c>
      <c r="N27" s="1">
        <f t="shared" si="2"/>
        <v>78</v>
      </c>
      <c r="O27" s="1">
        <f t="shared" si="2"/>
        <v>78.33333333</v>
      </c>
      <c r="P27" s="1">
        <f t="shared" si="2"/>
        <v>95.33333333</v>
      </c>
      <c r="Q27" s="1">
        <f t="shared" si="2"/>
        <v>89.66666667</v>
      </c>
      <c r="R27" s="1">
        <f t="shared" si="2"/>
        <v>86.33333333</v>
      </c>
      <c r="S27" s="1">
        <f t="shared" si="2"/>
        <v>0</v>
      </c>
      <c r="T27" s="1">
        <f t="shared" si="2"/>
        <v>81.33333333</v>
      </c>
      <c r="U27" s="1">
        <f t="shared" si="2"/>
        <v>75.66666667</v>
      </c>
      <c r="V27" s="1">
        <f t="shared" si="2"/>
        <v>98.33333333</v>
      </c>
      <c r="W27" s="1">
        <f t="shared" si="2"/>
        <v>84.66666667</v>
      </c>
      <c r="X27" s="1">
        <f t="shared" si="2"/>
        <v>76.33333333</v>
      </c>
      <c r="Y27" s="1">
        <f t="shared" si="2"/>
        <v>75</v>
      </c>
      <c r="Z27" s="1">
        <f t="shared" si="2"/>
        <v>82.33333333</v>
      </c>
      <c r="AA27" s="1">
        <f t="shared" si="2"/>
        <v>72.33333333</v>
      </c>
      <c r="AB27" s="1">
        <f t="shared" si="2"/>
        <v>74.66666667</v>
      </c>
      <c r="AC27" s="1">
        <f t="shared" si="2"/>
        <v>86</v>
      </c>
      <c r="AD27" s="1">
        <f t="shared" si="2"/>
        <v>75.33333333</v>
      </c>
      <c r="AE27" s="1">
        <f t="shared" si="2"/>
        <v>75</v>
      </c>
      <c r="AF27" s="1">
        <f t="shared" si="2"/>
        <v>92.66666667</v>
      </c>
      <c r="AG27" s="1">
        <f t="shared" si="2"/>
        <v>82.33333333</v>
      </c>
      <c r="AH27" s="1">
        <f t="shared" si="2"/>
        <v>76</v>
      </c>
      <c r="AI27" s="1">
        <f t="shared" si="2"/>
        <v>74.66666667</v>
      </c>
      <c r="AJ27" s="1">
        <f t="shared" si="2"/>
        <v>87.66666667</v>
      </c>
      <c r="AK27" s="1">
        <f t="shared" si="2"/>
        <v>112.6666667</v>
      </c>
      <c r="AL27" s="1">
        <f t="shared" si="2"/>
        <v>86.33333333</v>
      </c>
      <c r="AM27" s="1">
        <f t="shared" si="2"/>
        <v>89.66666667</v>
      </c>
      <c r="AN27" s="1">
        <f t="shared" si="2"/>
        <v>68</v>
      </c>
      <c r="AO27" s="1">
        <f t="shared" si="2"/>
        <v>69.66666667</v>
      </c>
      <c r="AP27" s="1">
        <f t="shared" si="2"/>
        <v>92.66666667</v>
      </c>
      <c r="AQ27" s="1">
        <f t="shared" si="2"/>
        <v>98.33333333</v>
      </c>
      <c r="AR27" s="1">
        <f t="shared" si="2"/>
        <v>71.66666667</v>
      </c>
      <c r="AS27" s="1">
        <f t="shared" si="2"/>
        <v>72</v>
      </c>
      <c r="AT27" s="1">
        <f t="shared" si="2"/>
        <v>101.6666667</v>
      </c>
      <c r="AU27" s="1">
        <f t="shared" si="2"/>
        <v>69</v>
      </c>
      <c r="AV27" s="1">
        <f t="shared" si="2"/>
        <v>78.33333333</v>
      </c>
      <c r="AW27" s="1">
        <f t="shared" si="2"/>
        <v>80.66666667</v>
      </c>
      <c r="AX27" s="1">
        <f t="shared" si="2"/>
        <v>95.33333333</v>
      </c>
      <c r="AY27" s="1">
        <f t="shared" si="2"/>
        <v>76.66666667</v>
      </c>
      <c r="AZ27" s="1">
        <f t="shared" si="2"/>
        <v>98.33333333</v>
      </c>
      <c r="BA27" s="1">
        <f t="shared" si="2"/>
        <v>60.66666667</v>
      </c>
      <c r="BB27" s="1">
        <f t="shared" si="2"/>
        <v>103</v>
      </c>
      <c r="BC27" s="1">
        <f t="shared" si="2"/>
        <v>77.33333333</v>
      </c>
      <c r="BD27" s="1">
        <f t="shared" si="2"/>
        <v>87.66666667</v>
      </c>
      <c r="BE27" s="1">
        <f t="shared" si="2"/>
        <v>77.33333333</v>
      </c>
      <c r="BF27" s="1">
        <f t="shared" si="2"/>
        <v>75.33333333</v>
      </c>
      <c r="BG27" s="1">
        <f t="shared" si="2"/>
        <v>66.33333333</v>
      </c>
      <c r="BH27" s="1">
        <f t="shared" si="2"/>
        <v>96.66666667</v>
      </c>
      <c r="BI27" s="1">
        <f t="shared" si="2"/>
        <v>75</v>
      </c>
      <c r="BJ27" s="1">
        <f t="shared" si="2"/>
        <v>77.66666667</v>
      </c>
      <c r="BK27" s="1">
        <f t="shared" si="2"/>
        <v>84</v>
      </c>
      <c r="BL27" s="1">
        <f t="shared" si="2"/>
        <v>73.66666667</v>
      </c>
      <c r="BM27" s="1">
        <f t="shared" si="2"/>
        <v>92.33333333</v>
      </c>
      <c r="BN27" s="1">
        <f t="shared" si="2"/>
        <v>93.33333333</v>
      </c>
      <c r="BO27" s="1">
        <f t="shared" si="2"/>
        <v>91.66666667</v>
      </c>
      <c r="BP27" s="1">
        <f t="shared" si="2"/>
        <v>81.33333333</v>
      </c>
    </row>
    <row r="28" ht="15.75" customHeight="1">
      <c r="A28" s="11" t="s">
        <v>242</v>
      </c>
      <c r="B28" s="1">
        <v>106.0</v>
      </c>
      <c r="C28" s="1">
        <v>108.0</v>
      </c>
      <c r="D28" s="1"/>
      <c r="E28" s="1">
        <v>53.0</v>
      </c>
      <c r="F28" s="1">
        <v>126.0</v>
      </c>
      <c r="G28" s="1">
        <v>125.0</v>
      </c>
      <c r="H28" s="1">
        <v>85.0</v>
      </c>
      <c r="I28" s="1">
        <v>80.0</v>
      </c>
      <c r="J28" s="1">
        <v>100.0</v>
      </c>
      <c r="K28" s="1">
        <v>88.0</v>
      </c>
      <c r="L28" s="1">
        <v>74.0</v>
      </c>
      <c r="M28" s="1">
        <v>85.0</v>
      </c>
      <c r="N28" s="1">
        <v>73.0</v>
      </c>
      <c r="O28" s="1">
        <v>89.0</v>
      </c>
      <c r="P28" s="1">
        <v>92.0</v>
      </c>
      <c r="Q28" s="1">
        <v>97.0</v>
      </c>
      <c r="R28" s="1">
        <v>88.0</v>
      </c>
      <c r="S28" s="1"/>
      <c r="T28" s="1">
        <v>94.0</v>
      </c>
      <c r="U28" s="1">
        <v>100.0</v>
      </c>
      <c r="V28" s="1">
        <v>100.0</v>
      </c>
      <c r="W28" s="1">
        <v>106.0</v>
      </c>
      <c r="X28" s="1">
        <v>47.0</v>
      </c>
      <c r="Y28" s="1">
        <v>109.0</v>
      </c>
      <c r="Z28" s="1">
        <v>77.0</v>
      </c>
      <c r="AA28" s="1">
        <v>61.0</v>
      </c>
      <c r="AB28" s="1">
        <v>100.0</v>
      </c>
      <c r="AC28" s="1">
        <v>78.0</v>
      </c>
      <c r="AD28" s="1">
        <v>78.0</v>
      </c>
      <c r="AE28" s="1">
        <v>80.0</v>
      </c>
      <c r="AF28" s="1">
        <v>105.0</v>
      </c>
      <c r="AG28" s="1">
        <v>87.0</v>
      </c>
      <c r="AH28" s="1">
        <v>109.0</v>
      </c>
      <c r="AI28" s="1">
        <v>56.0</v>
      </c>
      <c r="AJ28" s="1">
        <v>75.0</v>
      </c>
      <c r="AK28" s="1">
        <v>81.0</v>
      </c>
      <c r="AL28" s="1">
        <v>90.0</v>
      </c>
      <c r="AM28" s="1">
        <v>109.0</v>
      </c>
      <c r="AN28" s="1">
        <v>72.0</v>
      </c>
      <c r="AO28" s="1">
        <v>133.0</v>
      </c>
      <c r="AP28" s="1">
        <v>88.0</v>
      </c>
      <c r="AQ28" s="1">
        <v>139.0</v>
      </c>
      <c r="AR28" s="1">
        <v>67.0</v>
      </c>
      <c r="AS28" s="1">
        <v>69.0</v>
      </c>
      <c r="AT28" s="1">
        <v>61.0</v>
      </c>
      <c r="AU28" s="1">
        <v>72.0</v>
      </c>
      <c r="AV28" s="1">
        <v>68.0</v>
      </c>
      <c r="AW28" s="1">
        <v>105.0</v>
      </c>
      <c r="AX28" s="1">
        <v>90.0</v>
      </c>
      <c r="AY28" s="1">
        <v>102.0</v>
      </c>
      <c r="AZ28" s="1">
        <v>89.0</v>
      </c>
      <c r="BA28" s="1">
        <v>78.0</v>
      </c>
      <c r="BB28" s="1">
        <v>100.0</v>
      </c>
      <c r="BC28" s="2">
        <v>84.0</v>
      </c>
      <c r="BD28" s="2">
        <v>108.0</v>
      </c>
      <c r="BE28" s="2">
        <v>84.0</v>
      </c>
      <c r="BF28" s="2">
        <v>32.0</v>
      </c>
      <c r="BG28" s="2">
        <v>73.0</v>
      </c>
      <c r="BH28" s="2">
        <v>130.0</v>
      </c>
      <c r="BI28" s="2">
        <v>96.0</v>
      </c>
      <c r="BJ28" s="2">
        <v>81.0</v>
      </c>
      <c r="BK28" s="2">
        <v>92.0</v>
      </c>
      <c r="BL28" s="2">
        <v>76.0</v>
      </c>
      <c r="BM28" s="2">
        <v>92.0</v>
      </c>
      <c r="BN28" s="2">
        <v>70.0</v>
      </c>
      <c r="BO28" s="2">
        <v>100.0</v>
      </c>
      <c r="BP28" s="2">
        <v>105.0</v>
      </c>
    </row>
    <row r="29" ht="15.75" customHeight="1">
      <c r="A29" s="11" t="s">
        <v>243</v>
      </c>
      <c r="B29" s="1">
        <v>6.1</v>
      </c>
      <c r="C29" s="1">
        <v>3.3</v>
      </c>
      <c r="D29" s="1"/>
      <c r="E29" s="1">
        <v>3.97</v>
      </c>
      <c r="F29" s="1">
        <v>3.53</v>
      </c>
      <c r="G29" s="1">
        <v>3.6</v>
      </c>
      <c r="H29" s="1">
        <v>2.8</v>
      </c>
      <c r="I29" s="1">
        <v>4.3</v>
      </c>
      <c r="J29" s="1">
        <v>4.5</v>
      </c>
      <c r="K29" s="1">
        <v>4.23</v>
      </c>
      <c r="L29" s="1">
        <v>3.87</v>
      </c>
      <c r="M29" s="1">
        <v>3.43</v>
      </c>
      <c r="N29" s="1">
        <v>2.35</v>
      </c>
      <c r="O29" s="1">
        <v>2.9</v>
      </c>
      <c r="P29" s="1">
        <v>5.78</v>
      </c>
      <c r="Q29" s="1">
        <v>4.1</v>
      </c>
      <c r="R29" s="1">
        <v>3.47</v>
      </c>
      <c r="S29" s="1"/>
      <c r="T29" s="1">
        <v>4.47</v>
      </c>
      <c r="U29" s="1">
        <v>2.87</v>
      </c>
      <c r="V29" s="1">
        <v>3.56</v>
      </c>
      <c r="W29" s="1">
        <v>5.8</v>
      </c>
      <c r="X29" s="1">
        <v>3.27</v>
      </c>
      <c r="Y29" s="1">
        <v>4.7</v>
      </c>
      <c r="Z29" s="1">
        <v>4.57</v>
      </c>
      <c r="AA29" s="1">
        <v>4.63</v>
      </c>
      <c r="AB29" s="1">
        <v>2.8</v>
      </c>
      <c r="AC29" s="1">
        <v>2.73</v>
      </c>
      <c r="AD29" s="1">
        <v>3.8</v>
      </c>
      <c r="AE29" s="1">
        <v>3.63</v>
      </c>
      <c r="AF29" s="1">
        <v>1.9</v>
      </c>
      <c r="AG29" s="1">
        <v>3.9</v>
      </c>
      <c r="AH29" s="1">
        <v>1.77</v>
      </c>
      <c r="AI29" s="1">
        <v>4.38</v>
      </c>
      <c r="AJ29" s="1">
        <v>3.5</v>
      </c>
      <c r="AK29" s="1">
        <v>5.93</v>
      </c>
      <c r="AL29" s="1">
        <v>3.23</v>
      </c>
      <c r="AM29" s="1">
        <v>3.23</v>
      </c>
      <c r="AN29" s="1">
        <v>1.33</v>
      </c>
      <c r="AO29" s="1">
        <v>7.6</v>
      </c>
      <c r="AP29" s="1">
        <v>5.77</v>
      </c>
      <c r="AQ29" s="1">
        <v>4.37</v>
      </c>
      <c r="AR29" s="1">
        <v>3.6</v>
      </c>
      <c r="AS29" s="1">
        <v>2.9</v>
      </c>
      <c r="AT29" s="1">
        <v>2.2</v>
      </c>
      <c r="AU29" s="1">
        <v>5.95</v>
      </c>
      <c r="AV29" s="1">
        <v>3.52</v>
      </c>
      <c r="AW29" s="1">
        <v>4.17</v>
      </c>
      <c r="AX29" s="1">
        <v>3.6</v>
      </c>
      <c r="AY29" s="1">
        <v>4.33</v>
      </c>
      <c r="AZ29" s="1">
        <v>3.0</v>
      </c>
      <c r="BA29" s="1">
        <v>2.3</v>
      </c>
      <c r="BB29" s="1">
        <v>3.3</v>
      </c>
      <c r="BC29" s="2">
        <v>4.0</v>
      </c>
      <c r="BD29" s="2">
        <v>3.45</v>
      </c>
      <c r="BE29" s="2">
        <v>4.03</v>
      </c>
      <c r="BF29" s="2">
        <v>4.93</v>
      </c>
      <c r="BG29" s="2">
        <v>3.63</v>
      </c>
      <c r="BH29" s="2">
        <v>3.8</v>
      </c>
      <c r="BI29" s="2">
        <v>4.4</v>
      </c>
      <c r="BJ29" s="2">
        <v>3.52</v>
      </c>
      <c r="BK29" s="2">
        <v>3.33</v>
      </c>
      <c r="BL29" s="2">
        <v>5.67</v>
      </c>
      <c r="BM29" s="2">
        <v>5.33</v>
      </c>
      <c r="BN29" s="2">
        <v>6.17</v>
      </c>
      <c r="BO29" s="2">
        <v>1.95</v>
      </c>
      <c r="BP29" s="2">
        <v>4.6</v>
      </c>
    </row>
    <row r="30" ht="15.75" customHeight="1">
      <c r="A30" s="3" t="s">
        <v>244</v>
      </c>
      <c r="B30" s="1">
        <f t="shared" ref="B30:BP30" si="3">B29/B28</f>
        <v>0.05754716981</v>
      </c>
      <c r="C30" s="1">
        <f t="shared" si="3"/>
        <v>0.03055555556</v>
      </c>
      <c r="D30" s="1" t="str">
        <f t="shared" si="3"/>
        <v>#DIV/0!</v>
      </c>
      <c r="E30" s="1">
        <f t="shared" si="3"/>
        <v>0.07490566038</v>
      </c>
      <c r="F30" s="1">
        <f t="shared" si="3"/>
        <v>0.02801587302</v>
      </c>
      <c r="G30" s="1">
        <f t="shared" si="3"/>
        <v>0.0288</v>
      </c>
      <c r="H30" s="1">
        <f t="shared" si="3"/>
        <v>0.03294117647</v>
      </c>
      <c r="I30" s="1">
        <f t="shared" si="3"/>
        <v>0.05375</v>
      </c>
      <c r="J30" s="1">
        <f t="shared" si="3"/>
        <v>0.045</v>
      </c>
      <c r="K30" s="1">
        <f t="shared" si="3"/>
        <v>0.04806818182</v>
      </c>
      <c r="L30" s="1">
        <f t="shared" si="3"/>
        <v>0.0522972973</v>
      </c>
      <c r="M30" s="1">
        <f t="shared" si="3"/>
        <v>0.04035294118</v>
      </c>
      <c r="N30" s="1">
        <f t="shared" si="3"/>
        <v>0.03219178082</v>
      </c>
      <c r="O30" s="1">
        <f t="shared" si="3"/>
        <v>0.03258426966</v>
      </c>
      <c r="P30" s="1">
        <f t="shared" si="3"/>
        <v>0.06282608696</v>
      </c>
      <c r="Q30" s="1">
        <f t="shared" si="3"/>
        <v>0.04226804124</v>
      </c>
      <c r="R30" s="1">
        <f t="shared" si="3"/>
        <v>0.03943181818</v>
      </c>
      <c r="S30" s="1" t="str">
        <f t="shared" si="3"/>
        <v>#DIV/0!</v>
      </c>
      <c r="T30" s="1">
        <f t="shared" si="3"/>
        <v>0.04755319149</v>
      </c>
      <c r="U30" s="1">
        <f t="shared" si="3"/>
        <v>0.0287</v>
      </c>
      <c r="V30" s="1">
        <f t="shared" si="3"/>
        <v>0.0356</v>
      </c>
      <c r="W30" s="1">
        <f t="shared" si="3"/>
        <v>0.05471698113</v>
      </c>
      <c r="X30" s="1">
        <f t="shared" si="3"/>
        <v>0.06957446809</v>
      </c>
      <c r="Y30" s="1">
        <f t="shared" si="3"/>
        <v>0.04311926606</v>
      </c>
      <c r="Z30" s="1">
        <f t="shared" si="3"/>
        <v>0.05935064935</v>
      </c>
      <c r="AA30" s="1">
        <f t="shared" si="3"/>
        <v>0.07590163934</v>
      </c>
      <c r="AB30" s="1">
        <f t="shared" si="3"/>
        <v>0.028</v>
      </c>
      <c r="AC30" s="1">
        <f t="shared" si="3"/>
        <v>0.035</v>
      </c>
      <c r="AD30" s="1">
        <f t="shared" si="3"/>
        <v>0.04871794872</v>
      </c>
      <c r="AE30" s="1">
        <f t="shared" si="3"/>
        <v>0.045375</v>
      </c>
      <c r="AF30" s="1">
        <f t="shared" si="3"/>
        <v>0.0180952381</v>
      </c>
      <c r="AG30" s="1">
        <f t="shared" si="3"/>
        <v>0.04482758621</v>
      </c>
      <c r="AH30" s="1">
        <f t="shared" si="3"/>
        <v>0.01623853211</v>
      </c>
      <c r="AI30" s="1">
        <f t="shared" si="3"/>
        <v>0.07821428571</v>
      </c>
      <c r="AJ30" s="1">
        <f t="shared" si="3"/>
        <v>0.04666666667</v>
      </c>
      <c r="AK30" s="1">
        <f t="shared" si="3"/>
        <v>0.07320987654</v>
      </c>
      <c r="AL30" s="1">
        <f t="shared" si="3"/>
        <v>0.03588888889</v>
      </c>
      <c r="AM30" s="1">
        <f t="shared" si="3"/>
        <v>0.02963302752</v>
      </c>
      <c r="AN30" s="1">
        <f t="shared" si="3"/>
        <v>0.01847222222</v>
      </c>
      <c r="AO30" s="1">
        <f t="shared" si="3"/>
        <v>0.05714285714</v>
      </c>
      <c r="AP30" s="1">
        <f t="shared" si="3"/>
        <v>0.06556818182</v>
      </c>
      <c r="AQ30" s="1">
        <f t="shared" si="3"/>
        <v>0.03143884892</v>
      </c>
      <c r="AR30" s="1">
        <f t="shared" si="3"/>
        <v>0.05373134328</v>
      </c>
      <c r="AS30" s="1">
        <f t="shared" si="3"/>
        <v>0.04202898551</v>
      </c>
      <c r="AT30" s="1">
        <f t="shared" si="3"/>
        <v>0.03606557377</v>
      </c>
      <c r="AU30" s="1">
        <f t="shared" si="3"/>
        <v>0.08263888889</v>
      </c>
      <c r="AV30" s="1">
        <f t="shared" si="3"/>
        <v>0.05176470588</v>
      </c>
      <c r="AW30" s="1">
        <f t="shared" si="3"/>
        <v>0.03971428571</v>
      </c>
      <c r="AX30" s="1">
        <f t="shared" si="3"/>
        <v>0.04</v>
      </c>
      <c r="AY30" s="1">
        <f t="shared" si="3"/>
        <v>0.04245098039</v>
      </c>
      <c r="AZ30" s="1">
        <f t="shared" si="3"/>
        <v>0.03370786517</v>
      </c>
      <c r="BA30" s="1">
        <f t="shared" si="3"/>
        <v>0.02948717949</v>
      </c>
      <c r="BB30" s="1">
        <f t="shared" si="3"/>
        <v>0.033</v>
      </c>
      <c r="BC30" s="1">
        <f t="shared" si="3"/>
        <v>0.04761904762</v>
      </c>
      <c r="BD30" s="1">
        <f t="shared" si="3"/>
        <v>0.03194444444</v>
      </c>
      <c r="BE30" s="1">
        <f t="shared" si="3"/>
        <v>0.04797619048</v>
      </c>
      <c r="BF30" s="1">
        <f t="shared" si="3"/>
        <v>0.1540625</v>
      </c>
      <c r="BG30" s="1">
        <f t="shared" si="3"/>
        <v>0.0497260274</v>
      </c>
      <c r="BH30" s="1">
        <f t="shared" si="3"/>
        <v>0.02923076923</v>
      </c>
      <c r="BI30" s="1">
        <f t="shared" si="3"/>
        <v>0.04583333333</v>
      </c>
      <c r="BJ30" s="1">
        <f t="shared" si="3"/>
        <v>0.04345679012</v>
      </c>
      <c r="BK30" s="1">
        <f t="shared" si="3"/>
        <v>0.03619565217</v>
      </c>
      <c r="BL30" s="1">
        <f t="shared" si="3"/>
        <v>0.07460526316</v>
      </c>
      <c r="BM30" s="1">
        <f t="shared" si="3"/>
        <v>0.05793478261</v>
      </c>
      <c r="BN30" s="1">
        <f t="shared" si="3"/>
        <v>0.08814285714</v>
      </c>
      <c r="BO30" s="1">
        <f t="shared" si="3"/>
        <v>0.0195</v>
      </c>
      <c r="BP30" s="1">
        <f t="shared" si="3"/>
        <v>0.04380952381</v>
      </c>
    </row>
    <row r="31" ht="15.75" customHeight="1">
      <c r="A31" s="11" t="s">
        <v>245</v>
      </c>
      <c r="B31" s="1">
        <v>75.9</v>
      </c>
      <c r="C31" s="1">
        <v>36.7</v>
      </c>
      <c r="D31" s="1"/>
      <c r="E31" s="1">
        <v>55.9</v>
      </c>
      <c r="F31" s="1">
        <v>47.6</v>
      </c>
      <c r="G31" s="1" t="s">
        <v>232</v>
      </c>
      <c r="H31" s="1">
        <v>38.2</v>
      </c>
      <c r="I31" s="1"/>
      <c r="J31" s="1">
        <v>62.1</v>
      </c>
      <c r="K31" s="1">
        <v>56.2</v>
      </c>
      <c r="L31" s="1">
        <v>71.0</v>
      </c>
      <c r="M31" s="1">
        <v>64.9</v>
      </c>
      <c r="N31" s="1">
        <v>47.1</v>
      </c>
      <c r="O31" s="1">
        <v>45.1</v>
      </c>
      <c r="P31" s="1">
        <v>65.4</v>
      </c>
      <c r="Q31" s="1">
        <v>57.0</v>
      </c>
      <c r="R31" s="1">
        <v>66.0</v>
      </c>
      <c r="S31" s="1"/>
      <c r="T31" s="1"/>
      <c r="U31" s="1">
        <v>58.6</v>
      </c>
      <c r="V31" s="1">
        <v>55.6</v>
      </c>
      <c r="W31" s="1">
        <v>70.8</v>
      </c>
      <c r="X31" s="1">
        <v>56.2</v>
      </c>
      <c r="Y31" s="1">
        <v>65.0</v>
      </c>
      <c r="Z31" s="1">
        <v>54.9</v>
      </c>
      <c r="AA31" s="1">
        <v>56.3</v>
      </c>
      <c r="AB31" s="1"/>
      <c r="AC31" s="1">
        <v>56.0</v>
      </c>
      <c r="AD31" s="1">
        <v>57.0</v>
      </c>
      <c r="AE31" s="1">
        <v>51.0</v>
      </c>
      <c r="AF31" s="1">
        <v>40.0</v>
      </c>
      <c r="AG31" s="1" t="s">
        <v>232</v>
      </c>
      <c r="AH31" s="1">
        <v>50.0</v>
      </c>
      <c r="AI31" s="1">
        <v>63.1</v>
      </c>
      <c r="AJ31" s="1">
        <v>60.5</v>
      </c>
      <c r="AK31" s="1">
        <v>47.9</v>
      </c>
      <c r="AL31" s="1">
        <v>60.1</v>
      </c>
      <c r="AM31" s="2">
        <v>48.5</v>
      </c>
      <c r="AN31" s="1"/>
      <c r="AO31" s="1">
        <v>61.9</v>
      </c>
      <c r="AP31" s="1">
        <v>43.9</v>
      </c>
      <c r="AQ31" s="1">
        <v>21.5</v>
      </c>
      <c r="AR31" s="1">
        <v>51.0</v>
      </c>
      <c r="AS31" s="1">
        <v>29.0</v>
      </c>
      <c r="AT31" s="1">
        <v>41.0</v>
      </c>
      <c r="AU31" s="1">
        <v>67.8</v>
      </c>
      <c r="AV31" s="1">
        <v>65.7</v>
      </c>
      <c r="AW31" s="1">
        <v>39.7</v>
      </c>
      <c r="AX31" s="1">
        <v>38.5</v>
      </c>
      <c r="AY31" s="1">
        <v>65.1</v>
      </c>
      <c r="AZ31" s="1">
        <v>50.7</v>
      </c>
      <c r="BA31" s="1">
        <v>60.5</v>
      </c>
      <c r="BB31" s="1">
        <v>57.1</v>
      </c>
      <c r="BC31" s="2">
        <v>38.8</v>
      </c>
      <c r="BD31" s="2">
        <v>44.9</v>
      </c>
      <c r="BE31" s="2">
        <v>38.8</v>
      </c>
      <c r="BF31" s="2">
        <v>61.3</v>
      </c>
      <c r="BG31" s="2">
        <v>38.2</v>
      </c>
      <c r="BH31" s="2">
        <v>54.1</v>
      </c>
      <c r="BI31" s="2">
        <v>61.9</v>
      </c>
      <c r="BJ31" s="2">
        <v>49.2</v>
      </c>
      <c r="BK31" s="2">
        <v>74.0</v>
      </c>
      <c r="BL31" s="2">
        <v>73.8</v>
      </c>
      <c r="BM31" s="2">
        <v>39.0</v>
      </c>
      <c r="BN31" s="2">
        <v>69.2</v>
      </c>
      <c r="BO31" s="2">
        <v>30.2</v>
      </c>
      <c r="BP31" s="2">
        <v>58.7</v>
      </c>
    </row>
    <row r="32" ht="15.75" customHeight="1">
      <c r="A32" s="11" t="s">
        <v>246</v>
      </c>
      <c r="B32" s="1">
        <v>97.0</v>
      </c>
      <c r="C32" s="1">
        <v>99.0</v>
      </c>
      <c r="D32" s="1"/>
      <c r="E32" s="1">
        <v>97.0</v>
      </c>
      <c r="F32" s="1">
        <v>97.0</v>
      </c>
      <c r="G32" s="1" t="s">
        <v>232</v>
      </c>
      <c r="H32" s="1">
        <v>100.0</v>
      </c>
      <c r="I32" s="1">
        <v>97.0</v>
      </c>
      <c r="J32" s="1">
        <v>97.0</v>
      </c>
      <c r="K32" s="1">
        <v>97.0</v>
      </c>
      <c r="L32" s="1">
        <v>95.0</v>
      </c>
      <c r="M32" s="1">
        <v>98.0</v>
      </c>
      <c r="N32" s="1">
        <v>98.0</v>
      </c>
      <c r="O32" s="1">
        <v>95.0</v>
      </c>
      <c r="P32" s="1">
        <v>94.0</v>
      </c>
      <c r="Q32" s="1">
        <v>96.0</v>
      </c>
      <c r="R32" s="1">
        <v>100.0</v>
      </c>
      <c r="S32" s="1"/>
      <c r="T32" s="1"/>
      <c r="U32" s="1">
        <v>96.0</v>
      </c>
      <c r="V32" s="1">
        <v>97.0</v>
      </c>
      <c r="W32" s="1">
        <v>96.0</v>
      </c>
      <c r="X32" s="1">
        <v>96.0</v>
      </c>
      <c r="Y32" s="1">
        <v>97.0</v>
      </c>
      <c r="Z32" s="1">
        <v>93.0</v>
      </c>
      <c r="AA32" s="1">
        <v>93.0</v>
      </c>
      <c r="AB32" s="1">
        <v>97.0</v>
      </c>
      <c r="AC32" s="1">
        <v>99.0</v>
      </c>
      <c r="AD32" s="1">
        <v>95.0</v>
      </c>
      <c r="AE32" s="1">
        <v>97.0</v>
      </c>
      <c r="AF32" s="1">
        <v>97.0</v>
      </c>
      <c r="AG32" s="1" t="s">
        <v>232</v>
      </c>
      <c r="AH32" s="1">
        <v>100.0</v>
      </c>
      <c r="AI32" s="1">
        <v>95.0</v>
      </c>
      <c r="AJ32" s="1">
        <v>100.0</v>
      </c>
      <c r="AK32" s="1">
        <v>92.0</v>
      </c>
      <c r="AL32" s="1">
        <v>90.0</v>
      </c>
      <c r="AM32" s="1">
        <v>97.0</v>
      </c>
      <c r="AN32" s="1">
        <v>96.0</v>
      </c>
      <c r="AO32" s="1">
        <v>93.0</v>
      </c>
      <c r="AP32" s="1">
        <v>96.0</v>
      </c>
      <c r="AQ32" s="1">
        <v>99.0</v>
      </c>
      <c r="AR32" s="1">
        <v>95.0</v>
      </c>
      <c r="AS32" s="1">
        <v>95.0</v>
      </c>
      <c r="AT32" s="1">
        <v>97.0</v>
      </c>
      <c r="AU32" s="1">
        <v>98.0</v>
      </c>
      <c r="AV32" s="1">
        <v>98.0</v>
      </c>
      <c r="AW32" s="1">
        <v>98.0</v>
      </c>
      <c r="AX32" s="1"/>
      <c r="AY32" s="1">
        <v>93.0</v>
      </c>
      <c r="AZ32" s="1">
        <v>98.0</v>
      </c>
      <c r="BA32" s="1">
        <v>100.0</v>
      </c>
      <c r="BB32" s="1">
        <v>95.0</v>
      </c>
      <c r="BC32" s="2">
        <v>96.0</v>
      </c>
      <c r="BD32" s="2">
        <v>88.0</v>
      </c>
      <c r="BE32" s="2">
        <v>96.0</v>
      </c>
      <c r="BF32" s="2">
        <v>96.0</v>
      </c>
      <c r="BG32" s="2">
        <v>95.0</v>
      </c>
      <c r="BH32" s="2">
        <v>97.0</v>
      </c>
      <c r="BI32" s="2">
        <v>93.0</v>
      </c>
      <c r="BJ32" s="2">
        <v>97.0</v>
      </c>
      <c r="BK32" s="2">
        <v>100.0</v>
      </c>
      <c r="BL32" s="2">
        <v>99.0</v>
      </c>
      <c r="BM32" s="2">
        <v>92.0</v>
      </c>
      <c r="BN32" s="2">
        <v>97.0</v>
      </c>
      <c r="BO32" s="2">
        <v>100.0</v>
      </c>
      <c r="BP32" s="2">
        <v>99.0</v>
      </c>
    </row>
    <row r="33" ht="15.75" customHeight="1">
      <c r="A33" s="2" t="s">
        <v>247</v>
      </c>
      <c r="B33" s="1">
        <f t="shared" ref="B33:AG33" si="4">(B20-B21)/B17</f>
        <v>1.5</v>
      </c>
      <c r="C33" s="1">
        <f t="shared" si="4"/>
        <v>1.5</v>
      </c>
      <c r="D33" s="1" t="str">
        <f t="shared" si="4"/>
        <v>#DIV/0!</v>
      </c>
      <c r="E33" s="1">
        <f t="shared" si="4"/>
        <v>6.4</v>
      </c>
      <c r="F33" s="1">
        <f t="shared" si="4"/>
        <v>2.285714286</v>
      </c>
      <c r="G33" s="1">
        <f t="shared" si="4"/>
        <v>1.4</v>
      </c>
      <c r="H33" s="1">
        <f t="shared" si="4"/>
        <v>3.25</v>
      </c>
      <c r="I33" s="1">
        <f t="shared" si="4"/>
        <v>2.166666667</v>
      </c>
      <c r="J33" s="1">
        <f t="shared" si="4"/>
        <v>1.666666667</v>
      </c>
      <c r="K33" s="1">
        <f t="shared" si="4"/>
        <v>1.857142857</v>
      </c>
      <c r="L33" s="1">
        <f t="shared" si="4"/>
        <v>2.1</v>
      </c>
      <c r="M33" s="1">
        <f t="shared" si="4"/>
        <v>1.153846154</v>
      </c>
      <c r="N33" s="1">
        <f t="shared" si="4"/>
        <v>2</v>
      </c>
      <c r="O33" s="1">
        <f t="shared" si="4"/>
        <v>3.230769231</v>
      </c>
      <c r="P33" s="1">
        <f t="shared" si="4"/>
        <v>7</v>
      </c>
      <c r="Q33" s="1">
        <f t="shared" si="4"/>
        <v>1.523809524</v>
      </c>
      <c r="R33" s="1">
        <f t="shared" si="4"/>
        <v>2.2</v>
      </c>
      <c r="S33" s="1" t="str">
        <f t="shared" si="4"/>
        <v>#DIV/0!</v>
      </c>
      <c r="T33" s="1">
        <f t="shared" si="4"/>
        <v>1.933333333</v>
      </c>
      <c r="U33" s="1">
        <f t="shared" si="4"/>
        <v>1.272727273</v>
      </c>
      <c r="V33" s="1">
        <f t="shared" si="4"/>
        <v>1</v>
      </c>
      <c r="W33" s="1">
        <f t="shared" si="4"/>
        <v>2.75</v>
      </c>
      <c r="X33" s="1">
        <f t="shared" si="4"/>
        <v>2.8</v>
      </c>
      <c r="Y33" s="1">
        <f t="shared" si="4"/>
        <v>5.4</v>
      </c>
      <c r="Z33" s="1">
        <f t="shared" si="4"/>
        <v>1.2</v>
      </c>
      <c r="AA33" s="1">
        <f t="shared" si="4"/>
        <v>1.444444444</v>
      </c>
      <c r="AB33" s="1">
        <f t="shared" si="4"/>
        <v>0.7083333333</v>
      </c>
      <c r="AC33" s="1">
        <f t="shared" si="4"/>
        <v>3</v>
      </c>
      <c r="AD33" s="1">
        <f t="shared" si="4"/>
        <v>8.5</v>
      </c>
      <c r="AE33" s="1">
        <f t="shared" si="4"/>
        <v>1.318181818</v>
      </c>
      <c r="AF33" s="1">
        <f t="shared" si="4"/>
        <v>1.55</v>
      </c>
      <c r="AG33" s="1">
        <f t="shared" si="4"/>
        <v>1.857142857</v>
      </c>
      <c r="AH33" s="1">
        <f>(AH20-AH21)/AH18</f>
        <v>0.4150943396</v>
      </c>
      <c r="AI33" s="1">
        <f t="shared" ref="AI33:BP33" si="5">(AI20-AI21)/AI17</f>
        <v>7.666666667</v>
      </c>
      <c r="AJ33" s="1">
        <f t="shared" si="5"/>
        <v>0.65</v>
      </c>
      <c r="AK33" s="1">
        <f t="shared" si="5"/>
        <v>1.95</v>
      </c>
      <c r="AL33" s="1">
        <f t="shared" si="5"/>
        <v>3.545454545</v>
      </c>
      <c r="AM33" s="1">
        <f t="shared" si="5"/>
        <v>5</v>
      </c>
      <c r="AN33" s="1">
        <f t="shared" si="5"/>
        <v>2.1</v>
      </c>
      <c r="AO33" s="1">
        <f t="shared" si="5"/>
        <v>1.7</v>
      </c>
      <c r="AP33" s="1">
        <f t="shared" si="5"/>
        <v>1.888888889</v>
      </c>
      <c r="AQ33" s="1">
        <f t="shared" si="5"/>
        <v>2.2</v>
      </c>
      <c r="AR33" s="1">
        <f t="shared" si="5"/>
        <v>5.4</v>
      </c>
      <c r="AS33" s="1">
        <f t="shared" si="5"/>
        <v>1.222222222</v>
      </c>
      <c r="AT33" s="1">
        <f t="shared" si="5"/>
        <v>1.666666667</v>
      </c>
      <c r="AU33" s="1">
        <f t="shared" si="5"/>
        <v>2.214285714</v>
      </c>
      <c r="AV33" s="1">
        <f t="shared" si="5"/>
        <v>6.6</v>
      </c>
      <c r="AW33" s="1">
        <f t="shared" si="5"/>
        <v>1.55</v>
      </c>
      <c r="AX33" s="1">
        <f t="shared" si="5"/>
        <v>2.235294118</v>
      </c>
      <c r="AY33" s="1">
        <f t="shared" si="5"/>
        <v>2.75</v>
      </c>
      <c r="AZ33" s="1">
        <f t="shared" si="5"/>
        <v>1.333333333</v>
      </c>
      <c r="BA33" s="1">
        <f t="shared" si="5"/>
        <v>1</v>
      </c>
      <c r="BB33" s="1">
        <f t="shared" si="5"/>
        <v>0.9166666667</v>
      </c>
      <c r="BC33" s="1">
        <f t="shared" si="5"/>
        <v>2</v>
      </c>
      <c r="BD33" s="1">
        <f t="shared" si="5"/>
        <v>1.875</v>
      </c>
      <c r="BE33" s="1">
        <f t="shared" si="5"/>
        <v>2</v>
      </c>
      <c r="BF33" s="1">
        <f t="shared" si="5"/>
        <v>2.533333333</v>
      </c>
      <c r="BG33" s="1">
        <f t="shared" si="5"/>
        <v>1.85</v>
      </c>
      <c r="BH33" s="1">
        <f t="shared" si="5"/>
        <v>1.666666667</v>
      </c>
      <c r="BI33" s="1">
        <f t="shared" si="5"/>
        <v>5.25</v>
      </c>
      <c r="BJ33" s="1">
        <f t="shared" si="5"/>
        <v>3.375</v>
      </c>
      <c r="BK33" s="1">
        <f t="shared" si="5"/>
        <v>2.615384615</v>
      </c>
      <c r="BL33" s="1">
        <f t="shared" si="5"/>
        <v>18</v>
      </c>
      <c r="BM33" s="1">
        <f t="shared" si="5"/>
        <v>6</v>
      </c>
      <c r="BN33" s="1">
        <f t="shared" si="5"/>
        <v>7.25</v>
      </c>
      <c r="BO33" s="1">
        <f t="shared" si="5"/>
        <v>1.8125</v>
      </c>
      <c r="BP33" s="1">
        <f t="shared" si="5"/>
        <v>0.7777777778</v>
      </c>
    </row>
    <row r="34" ht="15.75" customHeight="1">
      <c r="A34" s="2" t="s">
        <v>248</v>
      </c>
      <c r="B34" s="1">
        <f t="shared" ref="B34:BP34" si="6">(B27*B29)/451</f>
        <v>1.086548411</v>
      </c>
      <c r="C34" s="1">
        <f t="shared" si="6"/>
        <v>0.6073170732</v>
      </c>
      <c r="D34" s="1">
        <f t="shared" si="6"/>
        <v>0</v>
      </c>
      <c r="E34" s="1">
        <f t="shared" si="6"/>
        <v>0.7452919438</v>
      </c>
      <c r="F34" s="1">
        <f t="shared" si="6"/>
        <v>0.6079009608</v>
      </c>
      <c r="G34" s="1">
        <f t="shared" si="6"/>
        <v>0.5534368071</v>
      </c>
      <c r="H34" s="1">
        <f t="shared" si="6"/>
        <v>0.4573540281</v>
      </c>
      <c r="I34" s="1">
        <f t="shared" si="6"/>
        <v>0.7945306726</v>
      </c>
      <c r="J34" s="1">
        <f t="shared" si="6"/>
        <v>0.6718403548</v>
      </c>
      <c r="K34" s="1">
        <f t="shared" si="6"/>
        <v>1.14113082</v>
      </c>
      <c r="L34" s="1">
        <f t="shared" si="6"/>
        <v>0.7694235033</v>
      </c>
      <c r="M34" s="1">
        <f t="shared" si="6"/>
        <v>0.4613895048</v>
      </c>
      <c r="N34" s="1">
        <f t="shared" si="6"/>
        <v>0.4064301552</v>
      </c>
      <c r="O34" s="1">
        <f t="shared" si="6"/>
        <v>0.5036954915</v>
      </c>
      <c r="P34" s="1">
        <f t="shared" si="6"/>
        <v>1.221788618</v>
      </c>
      <c r="Q34" s="1">
        <f t="shared" si="6"/>
        <v>0.8151515152</v>
      </c>
      <c r="R34" s="1">
        <f t="shared" si="6"/>
        <v>0.6642498152</v>
      </c>
      <c r="S34" s="1">
        <f t="shared" si="6"/>
        <v>0</v>
      </c>
      <c r="T34" s="1">
        <f t="shared" si="6"/>
        <v>0.8061197339</v>
      </c>
      <c r="U34" s="1">
        <f t="shared" si="6"/>
        <v>0.4815151515</v>
      </c>
      <c r="V34" s="1">
        <f t="shared" si="6"/>
        <v>0.7762010347</v>
      </c>
      <c r="W34" s="1">
        <f t="shared" si="6"/>
        <v>1.088839616</v>
      </c>
      <c r="X34" s="1">
        <f t="shared" si="6"/>
        <v>0.55345898</v>
      </c>
      <c r="Y34" s="1">
        <f t="shared" si="6"/>
        <v>0.7815964523</v>
      </c>
      <c r="Z34" s="1">
        <f t="shared" si="6"/>
        <v>0.8342867701</v>
      </c>
      <c r="AA34" s="1">
        <f t="shared" si="6"/>
        <v>0.7425794531</v>
      </c>
      <c r="AB34" s="1">
        <f t="shared" si="6"/>
        <v>0.4635624538</v>
      </c>
      <c r="AC34" s="1">
        <f t="shared" si="6"/>
        <v>0.5205764967</v>
      </c>
      <c r="AD34" s="1">
        <f t="shared" si="6"/>
        <v>0.6347376201</v>
      </c>
      <c r="AE34" s="1">
        <f t="shared" si="6"/>
        <v>0.6036585366</v>
      </c>
      <c r="AF34" s="1">
        <f t="shared" si="6"/>
        <v>0.3903917221</v>
      </c>
      <c r="AG34" s="1">
        <f t="shared" si="6"/>
        <v>0.7119733925</v>
      </c>
      <c r="AH34" s="1">
        <f t="shared" si="6"/>
        <v>0.29827051</v>
      </c>
      <c r="AI34" s="1">
        <f t="shared" si="6"/>
        <v>0.7251441242</v>
      </c>
      <c r="AJ34" s="1">
        <f t="shared" si="6"/>
        <v>0.6803399852</v>
      </c>
      <c r="AK34" s="1">
        <f t="shared" si="6"/>
        <v>1.481404287</v>
      </c>
      <c r="AL34" s="1">
        <f t="shared" si="6"/>
        <v>0.6183074649</v>
      </c>
      <c r="AM34" s="1">
        <f t="shared" si="6"/>
        <v>0.64218034</v>
      </c>
      <c r="AN34" s="1">
        <f t="shared" si="6"/>
        <v>0.2005321508</v>
      </c>
      <c r="AO34" s="1">
        <f t="shared" si="6"/>
        <v>1.17398374</v>
      </c>
      <c r="AP34" s="1">
        <f t="shared" si="6"/>
        <v>1.185558019</v>
      </c>
      <c r="AQ34" s="1">
        <f t="shared" si="6"/>
        <v>0.9528085735</v>
      </c>
      <c r="AR34" s="1">
        <f t="shared" si="6"/>
        <v>0.5720620843</v>
      </c>
      <c r="AS34" s="1">
        <f t="shared" si="6"/>
        <v>0.4629711752</v>
      </c>
      <c r="AT34" s="1">
        <f t="shared" si="6"/>
        <v>0.4959349593</v>
      </c>
      <c r="AU34" s="1">
        <f t="shared" si="6"/>
        <v>0.9103104213</v>
      </c>
      <c r="AV34" s="1">
        <f t="shared" si="6"/>
        <v>0.6113821138</v>
      </c>
      <c r="AW34" s="1">
        <f t="shared" si="6"/>
        <v>0.7458536585</v>
      </c>
      <c r="AX34" s="1">
        <f t="shared" si="6"/>
        <v>0.7609756098</v>
      </c>
      <c r="AY34" s="1">
        <f t="shared" si="6"/>
        <v>0.736067997</v>
      </c>
      <c r="AZ34" s="1">
        <f t="shared" si="6"/>
        <v>0.6541019956</v>
      </c>
      <c r="BA34" s="1">
        <f t="shared" si="6"/>
        <v>0.3093865484</v>
      </c>
      <c r="BB34" s="1">
        <f t="shared" si="6"/>
        <v>0.7536585366</v>
      </c>
      <c r="BC34" s="1">
        <f t="shared" si="6"/>
        <v>0.6858832225</v>
      </c>
      <c r="BD34" s="1">
        <f t="shared" si="6"/>
        <v>0.6706208426</v>
      </c>
      <c r="BE34" s="1">
        <f t="shared" si="6"/>
        <v>0.6910273466</v>
      </c>
      <c r="BF34" s="1">
        <f t="shared" si="6"/>
        <v>0.823488544</v>
      </c>
      <c r="BG34" s="1">
        <f t="shared" si="6"/>
        <v>0.533902439</v>
      </c>
      <c r="BH34" s="1">
        <f t="shared" si="6"/>
        <v>0.8144863267</v>
      </c>
      <c r="BI34" s="1">
        <f t="shared" si="6"/>
        <v>0.7317073171</v>
      </c>
      <c r="BJ34" s="1">
        <f t="shared" si="6"/>
        <v>0.6061788618</v>
      </c>
      <c r="BK34" s="1">
        <f t="shared" si="6"/>
        <v>0.6202217295</v>
      </c>
      <c r="BL34" s="1">
        <f t="shared" si="6"/>
        <v>0.9261419069</v>
      </c>
      <c r="BM34" s="1">
        <f t="shared" si="6"/>
        <v>1.091212121</v>
      </c>
      <c r="BN34" s="1">
        <f t="shared" si="6"/>
        <v>1.276866223</v>
      </c>
      <c r="BO34" s="1">
        <f t="shared" si="6"/>
        <v>0.3963414634</v>
      </c>
      <c r="BP34" s="1">
        <f t="shared" si="6"/>
        <v>0.829563932</v>
      </c>
    </row>
    <row r="35" ht="15.75" customHeight="1">
      <c r="A35" s="3" t="s">
        <v>249</v>
      </c>
      <c r="B35" s="1">
        <f t="shared" ref="B35:BP35" si="7">(B22*B29)/451</f>
        <v>0.4733924612</v>
      </c>
      <c r="C35" s="1">
        <f t="shared" si="7"/>
        <v>0.3146341463</v>
      </c>
      <c r="D35" s="1">
        <f t="shared" si="7"/>
        <v>0</v>
      </c>
      <c r="E35" s="1">
        <f t="shared" si="7"/>
        <v>0.2992904656</v>
      </c>
      <c r="F35" s="1">
        <f t="shared" si="7"/>
        <v>0.2035033259</v>
      </c>
      <c r="G35" s="1">
        <f t="shared" si="7"/>
        <v>0.3352549889</v>
      </c>
      <c r="H35" s="1">
        <f t="shared" si="7"/>
        <v>0.2235033259</v>
      </c>
      <c r="I35" s="1">
        <f t="shared" si="7"/>
        <v>0.2192904656</v>
      </c>
      <c r="J35" s="1">
        <f t="shared" si="7"/>
        <v>0.389135255</v>
      </c>
      <c r="K35" s="1">
        <f t="shared" si="7"/>
        <v>0.4689578714</v>
      </c>
      <c r="L35" s="1">
        <f t="shared" si="7"/>
        <v>0.2316851441</v>
      </c>
      <c r="M35" s="1">
        <f t="shared" si="7"/>
        <v>0.1977383592</v>
      </c>
      <c r="N35" s="1">
        <f t="shared" si="7"/>
        <v>0.1927937916</v>
      </c>
      <c r="O35" s="1">
        <f t="shared" si="7"/>
        <v>0.3215077605</v>
      </c>
      <c r="P35" s="1">
        <f t="shared" si="7"/>
        <v>0.7945898004</v>
      </c>
      <c r="Q35" s="1">
        <f t="shared" si="7"/>
        <v>0.3454545455</v>
      </c>
      <c r="R35" s="1">
        <f t="shared" si="7"/>
        <v>0.1307982262</v>
      </c>
      <c r="S35" s="1">
        <f t="shared" si="7"/>
        <v>0</v>
      </c>
      <c r="T35" s="1">
        <f t="shared" si="7"/>
        <v>0.3072505543</v>
      </c>
      <c r="U35" s="1">
        <f t="shared" si="7"/>
        <v>0.1909090909</v>
      </c>
      <c r="V35" s="1">
        <f t="shared" si="7"/>
        <v>0.2762749446</v>
      </c>
      <c r="W35" s="1">
        <f t="shared" si="7"/>
        <v>0.5401330377</v>
      </c>
      <c r="X35" s="1">
        <f t="shared" si="7"/>
        <v>0.2102660754</v>
      </c>
      <c r="Y35" s="1">
        <f t="shared" si="7"/>
        <v>0.2292682927</v>
      </c>
      <c r="Z35" s="1">
        <f t="shared" si="7"/>
        <v>0.4053215078</v>
      </c>
      <c r="AA35" s="1">
        <f t="shared" si="7"/>
        <v>0.2977161863</v>
      </c>
      <c r="AB35" s="1">
        <f t="shared" si="7"/>
        <v>0.2235033259</v>
      </c>
      <c r="AC35" s="1">
        <f t="shared" si="7"/>
        <v>0.157383592</v>
      </c>
      <c r="AD35" s="1">
        <f t="shared" si="7"/>
        <v>0.311751663</v>
      </c>
      <c r="AE35" s="1">
        <f t="shared" si="7"/>
        <v>0.4024390244</v>
      </c>
      <c r="AF35" s="1">
        <f t="shared" si="7"/>
        <v>0.1980044346</v>
      </c>
      <c r="AG35" s="1">
        <f t="shared" si="7"/>
        <v>0.4150776053</v>
      </c>
      <c r="AH35" s="1">
        <f t="shared" si="7"/>
        <v>0.153059867</v>
      </c>
      <c r="AI35" s="1">
        <f t="shared" si="7"/>
        <v>0.3787583149</v>
      </c>
      <c r="AJ35" s="1">
        <f t="shared" si="7"/>
        <v>0.2328159645</v>
      </c>
      <c r="AK35" s="1">
        <f t="shared" si="7"/>
        <v>0.5259423503</v>
      </c>
      <c r="AL35" s="1">
        <f t="shared" si="7"/>
        <v>0.3151219512</v>
      </c>
      <c r="AM35" s="1">
        <f t="shared" si="7"/>
        <v>0.3079600887</v>
      </c>
      <c r="AN35" s="1">
        <f t="shared" si="7"/>
        <v>0.08257206208</v>
      </c>
      <c r="AO35" s="1">
        <f t="shared" si="7"/>
        <v>0.6235033259</v>
      </c>
      <c r="AP35" s="1">
        <f t="shared" si="7"/>
        <v>0.4349889135</v>
      </c>
      <c r="AQ35" s="1">
        <f t="shared" si="7"/>
        <v>0.339135255</v>
      </c>
      <c r="AR35" s="1">
        <f t="shared" si="7"/>
        <v>0.2235033259</v>
      </c>
      <c r="AS35" s="1">
        <f t="shared" si="7"/>
        <v>0.2636363636</v>
      </c>
      <c r="AT35" s="1">
        <f t="shared" si="7"/>
        <v>0.1804878049</v>
      </c>
      <c r="AU35" s="1">
        <f t="shared" si="7"/>
        <v>0.4089800443</v>
      </c>
      <c r="AV35" s="1">
        <f t="shared" si="7"/>
        <v>0.2731707317</v>
      </c>
      <c r="AW35" s="1">
        <f t="shared" si="7"/>
        <v>0.4068292683</v>
      </c>
      <c r="AX35" s="1">
        <f t="shared" si="7"/>
        <v>0.3831485588</v>
      </c>
      <c r="AY35" s="1">
        <f t="shared" si="7"/>
        <v>0.3840354767</v>
      </c>
      <c r="AZ35" s="1">
        <f t="shared" si="7"/>
        <v>0.266075388</v>
      </c>
      <c r="BA35" s="1">
        <f t="shared" si="7"/>
        <v>0.1223946785</v>
      </c>
      <c r="BB35" s="1">
        <f t="shared" si="7"/>
        <v>0.1829268293</v>
      </c>
      <c r="BC35" s="1">
        <f t="shared" si="7"/>
        <v>0.3370288248</v>
      </c>
      <c r="BD35" s="1">
        <f t="shared" si="7"/>
        <v>0.3442350333</v>
      </c>
      <c r="BE35" s="1">
        <f t="shared" si="7"/>
        <v>0.339556541</v>
      </c>
      <c r="BF35" s="1">
        <f t="shared" si="7"/>
        <v>0.4044567627</v>
      </c>
      <c r="BG35" s="1">
        <f t="shared" si="7"/>
        <v>0.3380487805</v>
      </c>
      <c r="BH35" s="1">
        <f t="shared" si="7"/>
        <v>0.2190687361</v>
      </c>
      <c r="BI35" s="1">
        <f t="shared" si="7"/>
        <v>0.2926829268</v>
      </c>
      <c r="BJ35" s="1">
        <f t="shared" si="7"/>
        <v>0.2419512195</v>
      </c>
      <c r="BK35" s="1">
        <f t="shared" si="7"/>
        <v>0.3765631929</v>
      </c>
      <c r="BL35" s="1">
        <f t="shared" si="7"/>
        <v>0.2388691796</v>
      </c>
      <c r="BM35" s="1">
        <f t="shared" si="7"/>
        <v>0.2954545455</v>
      </c>
      <c r="BN35" s="1">
        <f t="shared" si="7"/>
        <v>0.3146563193</v>
      </c>
      <c r="BO35" s="1">
        <f t="shared" si="7"/>
        <v>0.233481153</v>
      </c>
      <c r="BP35" s="1">
        <f t="shared" si="7"/>
        <v>0.5099778271</v>
      </c>
    </row>
    <row r="36" ht="15.75" customHeight="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row>
    <row r="37" ht="15.75" customHeight="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row>
    <row r="38" ht="15.75" customHeight="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row>
    <row r="39" ht="15.75" customHeight="1">
      <c r="A39" s="12" t="s">
        <v>250</v>
      </c>
      <c r="B39" s="1"/>
      <c r="C39" s="1"/>
      <c r="D39" s="1"/>
      <c r="E39" s="1" t="s">
        <v>251</v>
      </c>
      <c r="F39" s="1"/>
      <c r="G39" s="1"/>
      <c r="H39" s="1"/>
      <c r="I39" s="5" t="s">
        <v>252</v>
      </c>
      <c r="J39" s="5" t="s">
        <v>253</v>
      </c>
      <c r="K39" s="1"/>
      <c r="L39" s="1"/>
      <c r="M39" s="1"/>
      <c r="N39" s="5" t="s">
        <v>254</v>
      </c>
      <c r="O39" s="1"/>
      <c r="P39" s="5" t="s">
        <v>255</v>
      </c>
      <c r="Q39" s="1"/>
      <c r="R39" s="5" t="s">
        <v>256</v>
      </c>
      <c r="S39" s="1"/>
      <c r="T39" s="1"/>
      <c r="U39" s="1"/>
      <c r="V39" s="1"/>
      <c r="W39" s="1" t="s">
        <v>257</v>
      </c>
      <c r="X39" s="1"/>
      <c r="Y39" s="1" t="s">
        <v>258</v>
      </c>
      <c r="Z39" s="1"/>
      <c r="AA39" s="1"/>
      <c r="AB39" s="1"/>
      <c r="AC39" s="1"/>
      <c r="AD39" s="1"/>
      <c r="AE39" s="1"/>
      <c r="AF39" s="1"/>
      <c r="AG39" s="1"/>
      <c r="AH39" s="1"/>
      <c r="AI39" s="5" t="s">
        <v>259</v>
      </c>
      <c r="AJ39" s="1"/>
      <c r="AK39" s="1"/>
      <c r="AL39" s="1"/>
      <c r="AM39" s="1"/>
      <c r="AN39" s="1"/>
      <c r="AO39" s="1"/>
      <c r="AP39" s="1"/>
      <c r="AQ39" s="1"/>
      <c r="AR39" s="1"/>
      <c r="AS39" s="1"/>
      <c r="AT39" s="1"/>
      <c r="AU39" s="1"/>
      <c r="AV39" s="1"/>
      <c r="AW39" s="1"/>
      <c r="AX39" s="5" t="s">
        <v>260</v>
      </c>
      <c r="AY39" s="1"/>
      <c r="AZ39" s="1"/>
      <c r="BA39" s="1"/>
      <c r="BB39" s="5" t="s">
        <v>261</v>
      </c>
    </row>
    <row r="40" ht="15.75" customHeight="1">
      <c r="A40" s="11" t="s">
        <v>230</v>
      </c>
      <c r="B40" s="1">
        <v>7.0</v>
      </c>
      <c r="C40" s="1">
        <v>18.0</v>
      </c>
      <c r="D40" s="1"/>
      <c r="E40" s="1">
        <v>10.0</v>
      </c>
      <c r="F40" s="1">
        <v>10.0</v>
      </c>
      <c r="G40" s="1">
        <v>7.0</v>
      </c>
      <c r="H40" s="1">
        <v>5.0</v>
      </c>
      <c r="I40" s="1">
        <v>7.0</v>
      </c>
      <c r="J40" s="1">
        <v>14.0</v>
      </c>
      <c r="K40" s="1"/>
      <c r="L40" s="1">
        <v>15.0</v>
      </c>
      <c r="M40" s="1">
        <v>8.0</v>
      </c>
      <c r="N40" s="1">
        <v>15.0</v>
      </c>
      <c r="O40" s="1">
        <v>13.0</v>
      </c>
      <c r="P40" s="1">
        <v>6.0</v>
      </c>
      <c r="Q40" s="1">
        <v>17.0</v>
      </c>
      <c r="R40" s="1">
        <v>3.0</v>
      </c>
      <c r="S40" s="1"/>
      <c r="T40" s="1">
        <v>4.0</v>
      </c>
      <c r="U40" s="1">
        <v>14.0</v>
      </c>
      <c r="V40" s="1">
        <v>6.0</v>
      </c>
      <c r="W40" s="1"/>
      <c r="X40" s="1">
        <v>11.0</v>
      </c>
      <c r="Y40" s="1"/>
      <c r="Z40" s="1">
        <v>7.0</v>
      </c>
      <c r="AA40" s="1">
        <v>9.0</v>
      </c>
      <c r="AB40" s="1">
        <v>18.0</v>
      </c>
      <c r="AC40" s="1">
        <v>14.0</v>
      </c>
      <c r="AD40" s="1">
        <v>11.0</v>
      </c>
      <c r="AE40" s="1">
        <v>27.0</v>
      </c>
      <c r="AF40" s="1">
        <v>10.0</v>
      </c>
      <c r="AG40" s="1">
        <v>12.0</v>
      </c>
      <c r="AH40" s="1">
        <v>4.0</v>
      </c>
      <c r="AI40" s="1">
        <v>13.0</v>
      </c>
      <c r="AJ40" s="1">
        <v>10.0</v>
      </c>
      <c r="AK40" s="1">
        <v>14.0</v>
      </c>
      <c r="AL40" s="1">
        <v>15.0</v>
      </c>
      <c r="AM40" s="1">
        <v>1.0</v>
      </c>
      <c r="AN40" s="1">
        <v>7.0</v>
      </c>
      <c r="AO40" s="1">
        <v>14.0</v>
      </c>
      <c r="AP40" s="1">
        <v>7.0</v>
      </c>
      <c r="AQ40" s="1">
        <v>21.0</v>
      </c>
      <c r="AR40" s="1">
        <v>9.0</v>
      </c>
      <c r="AS40" s="1">
        <v>9.0</v>
      </c>
      <c r="AT40" s="1">
        <v>10.0</v>
      </c>
      <c r="AU40" s="1">
        <v>12.0</v>
      </c>
      <c r="AV40" s="1">
        <v>6.0</v>
      </c>
      <c r="AW40" s="1">
        <v>25.0</v>
      </c>
      <c r="AX40" s="1"/>
      <c r="AY40" s="1">
        <v>15.0</v>
      </c>
      <c r="AZ40" s="1">
        <v>48.0</v>
      </c>
      <c r="BA40" s="1">
        <v>10.0</v>
      </c>
      <c r="BB40" s="1">
        <v>4.0</v>
      </c>
      <c r="BC40" s="2">
        <v>11.0</v>
      </c>
      <c r="BD40" s="2">
        <v>9.0</v>
      </c>
      <c r="BE40" s="2">
        <v>14.0</v>
      </c>
      <c r="BF40" s="2">
        <v>10.0</v>
      </c>
      <c r="BG40" s="2">
        <v>20.0</v>
      </c>
      <c r="BH40" s="2">
        <v>10.0</v>
      </c>
      <c r="BI40" s="2">
        <v>16.0</v>
      </c>
      <c r="BJ40" s="2">
        <v>13.0</v>
      </c>
      <c r="BK40" s="2">
        <v>18.0</v>
      </c>
      <c r="BL40" s="2">
        <v>7.0</v>
      </c>
      <c r="BM40" s="2">
        <v>14.0</v>
      </c>
      <c r="BN40" s="2">
        <v>4.0</v>
      </c>
      <c r="BO40" s="2">
        <v>11.0</v>
      </c>
      <c r="BP40" s="2">
        <v>29.0</v>
      </c>
    </row>
    <row r="41" ht="15.75" customHeight="1">
      <c r="A41" s="11" t="s">
        <v>231</v>
      </c>
      <c r="B41" s="1" t="s">
        <v>232</v>
      </c>
      <c r="C41" s="1" t="s">
        <v>232</v>
      </c>
      <c r="D41" s="1"/>
      <c r="E41" s="1"/>
      <c r="F41" s="1" t="s">
        <v>232</v>
      </c>
      <c r="G41" s="1" t="s">
        <v>232</v>
      </c>
      <c r="H41" s="1" t="s">
        <v>232</v>
      </c>
      <c r="I41" s="1" t="s">
        <v>232</v>
      </c>
      <c r="J41" s="1" t="s">
        <v>232</v>
      </c>
      <c r="K41" s="1"/>
      <c r="L41" s="1" t="s">
        <v>232</v>
      </c>
      <c r="M41" s="1" t="s">
        <v>232</v>
      </c>
      <c r="N41" s="1" t="s">
        <v>232</v>
      </c>
      <c r="O41" s="1" t="s">
        <v>232</v>
      </c>
      <c r="P41" s="1">
        <v>55.0</v>
      </c>
      <c r="Q41" s="1" t="s">
        <v>232</v>
      </c>
      <c r="R41" s="1" t="s">
        <v>232</v>
      </c>
      <c r="S41" s="1"/>
      <c r="T41" s="1" t="s">
        <v>232</v>
      </c>
      <c r="U41" s="1" t="s">
        <v>232</v>
      </c>
      <c r="V41" s="1" t="s">
        <v>232</v>
      </c>
      <c r="W41" s="1"/>
      <c r="X41" s="1" t="s">
        <v>232</v>
      </c>
      <c r="Y41" s="1"/>
      <c r="Z41" s="1" t="s">
        <v>232</v>
      </c>
      <c r="AA41" s="1" t="s">
        <v>232</v>
      </c>
      <c r="AB41" s="1" t="s">
        <v>232</v>
      </c>
      <c r="AC41" s="1" t="s">
        <v>232</v>
      </c>
      <c r="AD41" s="1" t="s">
        <v>232</v>
      </c>
      <c r="AE41" s="1" t="s">
        <v>232</v>
      </c>
      <c r="AF41" s="1" t="s">
        <v>232</v>
      </c>
      <c r="AG41" s="1" t="s">
        <v>232</v>
      </c>
      <c r="AH41" s="1" t="s">
        <v>232</v>
      </c>
      <c r="AI41" s="1">
        <v>68.0</v>
      </c>
      <c r="AJ41" s="1" t="s">
        <v>232</v>
      </c>
      <c r="AK41" s="1" t="s">
        <v>232</v>
      </c>
      <c r="AL41" s="1" t="s">
        <v>232</v>
      </c>
      <c r="AM41" s="1" t="s">
        <v>232</v>
      </c>
      <c r="AN41" s="1" t="s">
        <v>232</v>
      </c>
      <c r="AO41" s="1" t="s">
        <v>232</v>
      </c>
      <c r="AP41" s="1" t="s">
        <v>232</v>
      </c>
      <c r="AQ41" s="1" t="s">
        <v>232</v>
      </c>
      <c r="AR41" s="1" t="s">
        <v>232</v>
      </c>
      <c r="AS41" s="1" t="s">
        <v>232</v>
      </c>
      <c r="AT41" s="1" t="s">
        <v>232</v>
      </c>
      <c r="AU41" s="1" t="s">
        <v>232</v>
      </c>
      <c r="AV41" s="1" t="s">
        <v>232</v>
      </c>
      <c r="AW41" s="1" t="s">
        <v>232</v>
      </c>
      <c r="AX41" s="1"/>
      <c r="AY41" s="1" t="s">
        <v>232</v>
      </c>
      <c r="AZ41" s="1" t="s">
        <v>232</v>
      </c>
      <c r="BA41" s="1" t="s">
        <v>232</v>
      </c>
      <c r="BB41" s="1" t="s">
        <v>232</v>
      </c>
      <c r="BC41" s="2" t="s">
        <v>232</v>
      </c>
      <c r="BD41" s="2" t="s">
        <v>232</v>
      </c>
      <c r="BE41" s="2" t="s">
        <v>232</v>
      </c>
      <c r="BF41" s="2" t="s">
        <v>232</v>
      </c>
      <c r="BG41" s="2" t="s">
        <v>232</v>
      </c>
      <c r="BH41" s="2" t="s">
        <v>232</v>
      </c>
      <c r="BI41" s="2" t="s">
        <v>232</v>
      </c>
      <c r="BJ41" s="2" t="s">
        <v>232</v>
      </c>
      <c r="BK41" s="2" t="s">
        <v>232</v>
      </c>
      <c r="BL41" s="2" t="s">
        <v>232</v>
      </c>
      <c r="BM41" s="2" t="s">
        <v>232</v>
      </c>
      <c r="BN41" s="2" t="s">
        <v>232</v>
      </c>
      <c r="BO41" s="2" t="s">
        <v>232</v>
      </c>
      <c r="BP41" s="2" t="s">
        <v>232</v>
      </c>
    </row>
    <row r="42" ht="15.75" customHeight="1">
      <c r="A42" s="11" t="s">
        <v>233</v>
      </c>
      <c r="B42" s="1" t="s">
        <v>232</v>
      </c>
      <c r="C42" s="1" t="s">
        <v>232</v>
      </c>
      <c r="D42" s="1"/>
      <c r="E42" s="1"/>
      <c r="F42" s="1" t="s">
        <v>232</v>
      </c>
      <c r="G42" s="1" t="s">
        <v>232</v>
      </c>
      <c r="H42" s="1" t="s">
        <v>232</v>
      </c>
      <c r="I42" s="1" t="s">
        <v>232</v>
      </c>
      <c r="J42" s="1" t="s">
        <v>232</v>
      </c>
      <c r="K42" s="1"/>
      <c r="L42" s="1" t="s">
        <v>232</v>
      </c>
      <c r="M42" s="1" t="s">
        <v>232</v>
      </c>
      <c r="N42" s="1" t="s">
        <v>232</v>
      </c>
      <c r="O42" s="1" t="s">
        <v>232</v>
      </c>
      <c r="P42" s="1">
        <v>7.0</v>
      </c>
      <c r="Q42" s="1" t="s">
        <v>232</v>
      </c>
      <c r="R42" s="1" t="s">
        <v>232</v>
      </c>
      <c r="S42" s="1"/>
      <c r="T42" s="1" t="s">
        <v>232</v>
      </c>
      <c r="U42" s="1" t="s">
        <v>232</v>
      </c>
      <c r="V42" s="1" t="s">
        <v>232</v>
      </c>
      <c r="W42" s="1"/>
      <c r="X42" s="1" t="s">
        <v>232</v>
      </c>
      <c r="Y42" s="1"/>
      <c r="Z42" s="1" t="s">
        <v>232</v>
      </c>
      <c r="AA42" s="1" t="s">
        <v>232</v>
      </c>
      <c r="AB42" s="1" t="s">
        <v>232</v>
      </c>
      <c r="AC42" s="1" t="s">
        <v>232</v>
      </c>
      <c r="AD42" s="1" t="s">
        <v>232</v>
      </c>
      <c r="AE42" s="1" t="s">
        <v>232</v>
      </c>
      <c r="AF42" s="1" t="s">
        <v>232</v>
      </c>
      <c r="AG42" s="1" t="s">
        <v>232</v>
      </c>
      <c r="AH42" s="1" t="s">
        <v>262</v>
      </c>
      <c r="AI42" s="1">
        <v>20.0</v>
      </c>
      <c r="AJ42" s="1" t="s">
        <v>232</v>
      </c>
      <c r="AK42" s="1" t="s">
        <v>232</v>
      </c>
      <c r="AL42" s="1" t="s">
        <v>232</v>
      </c>
      <c r="AM42" s="1" t="s">
        <v>232</v>
      </c>
      <c r="AN42" s="1" t="s">
        <v>232</v>
      </c>
      <c r="AO42" s="1" t="s">
        <v>232</v>
      </c>
      <c r="AP42" s="1" t="s">
        <v>232</v>
      </c>
      <c r="AQ42" s="1" t="s">
        <v>232</v>
      </c>
      <c r="AR42" s="1" t="s">
        <v>232</v>
      </c>
      <c r="AS42" s="1" t="s">
        <v>232</v>
      </c>
      <c r="AT42" s="1" t="s">
        <v>232</v>
      </c>
      <c r="AU42" s="1" t="s">
        <v>232</v>
      </c>
      <c r="AV42" s="1" t="s">
        <v>232</v>
      </c>
      <c r="AW42" s="1" t="s">
        <v>232</v>
      </c>
      <c r="AX42" s="1"/>
      <c r="AY42" s="1" t="s">
        <v>232</v>
      </c>
      <c r="AZ42" s="1" t="s">
        <v>232</v>
      </c>
      <c r="BA42" s="1" t="s">
        <v>232</v>
      </c>
      <c r="BB42" s="1" t="s">
        <v>232</v>
      </c>
      <c r="BC42" s="2" t="s">
        <v>232</v>
      </c>
      <c r="BD42" s="2" t="s">
        <v>232</v>
      </c>
      <c r="BE42" s="2" t="s">
        <v>232</v>
      </c>
      <c r="BF42" s="2" t="s">
        <v>232</v>
      </c>
      <c r="BG42" s="2" t="s">
        <v>232</v>
      </c>
      <c r="BH42" s="2" t="s">
        <v>232</v>
      </c>
      <c r="BI42" s="2" t="s">
        <v>232</v>
      </c>
      <c r="BJ42" s="2" t="s">
        <v>232</v>
      </c>
      <c r="BK42" s="2" t="s">
        <v>232</v>
      </c>
      <c r="BL42" s="2" t="s">
        <v>232</v>
      </c>
      <c r="BM42" s="2" t="s">
        <v>232</v>
      </c>
      <c r="BN42" s="2" t="s">
        <v>232</v>
      </c>
      <c r="BO42" s="2" t="s">
        <v>232</v>
      </c>
      <c r="BP42" s="2" t="s">
        <v>232</v>
      </c>
    </row>
    <row r="43" ht="15.75" customHeight="1">
      <c r="A43" s="11" t="s">
        <v>234</v>
      </c>
      <c r="B43" s="1">
        <v>55.0</v>
      </c>
      <c r="C43" s="1">
        <v>59.0</v>
      </c>
      <c r="D43" s="1"/>
      <c r="E43" s="1"/>
      <c r="F43" s="1">
        <v>30.0</v>
      </c>
      <c r="G43" s="1">
        <v>57.0</v>
      </c>
      <c r="H43" s="1">
        <v>57.0</v>
      </c>
      <c r="I43" s="1">
        <v>41.0</v>
      </c>
      <c r="J43" s="1">
        <v>47.0</v>
      </c>
      <c r="K43" s="1"/>
      <c r="L43" s="1">
        <v>45.0</v>
      </c>
      <c r="M43" s="1">
        <v>27.0</v>
      </c>
      <c r="N43" s="1">
        <v>23.0</v>
      </c>
      <c r="O43" s="1">
        <v>55.0</v>
      </c>
      <c r="P43" s="1">
        <v>55.0</v>
      </c>
      <c r="Q43" s="1">
        <v>53.0</v>
      </c>
      <c r="R43" s="1">
        <v>21.0</v>
      </c>
      <c r="S43" s="1"/>
      <c r="T43" s="1">
        <v>48.0</v>
      </c>
      <c r="U43" s="1">
        <v>33.0</v>
      </c>
      <c r="V43" s="1">
        <v>34.0</v>
      </c>
      <c r="W43" s="1"/>
      <c r="X43" s="1">
        <v>54.0</v>
      </c>
      <c r="Y43" s="1"/>
      <c r="Z43" s="1">
        <v>50.0</v>
      </c>
      <c r="AA43" s="1">
        <v>34.0</v>
      </c>
      <c r="AB43" s="1">
        <v>44.0</v>
      </c>
      <c r="AC43" s="1">
        <v>36.0</v>
      </c>
      <c r="AD43" s="1">
        <v>73.0</v>
      </c>
      <c r="AE43" s="1">
        <v>56.0</v>
      </c>
      <c r="AF43" s="1">
        <v>60.0</v>
      </c>
      <c r="AG43" s="1">
        <v>48.0</v>
      </c>
      <c r="AH43" s="1">
        <v>35.0</v>
      </c>
      <c r="AI43" s="1">
        <v>67.0</v>
      </c>
      <c r="AJ43" s="1">
        <v>39.0</v>
      </c>
      <c r="AK43" s="1">
        <v>82.0</v>
      </c>
      <c r="AL43" s="1">
        <v>64.0</v>
      </c>
      <c r="AM43" s="1">
        <v>54.0</v>
      </c>
      <c r="AN43" s="1">
        <v>47.0</v>
      </c>
      <c r="AO43" s="1">
        <v>51.0</v>
      </c>
      <c r="AP43" s="1">
        <v>46.0</v>
      </c>
      <c r="AQ43" s="1">
        <v>61.0</v>
      </c>
      <c r="AR43" s="1">
        <v>61.0</v>
      </c>
      <c r="AS43" s="1">
        <v>60.0</v>
      </c>
      <c r="AT43" s="1">
        <v>38.0</v>
      </c>
      <c r="AU43" s="1">
        <v>49.0</v>
      </c>
      <c r="AV43" s="1">
        <v>59.0</v>
      </c>
      <c r="AW43" s="1">
        <v>62.0</v>
      </c>
      <c r="AX43" s="1"/>
      <c r="AY43" s="1">
        <v>72.0</v>
      </c>
      <c r="AZ43" s="1">
        <v>59.0</v>
      </c>
      <c r="BA43" s="1">
        <v>47.0</v>
      </c>
      <c r="BB43" s="1">
        <v>29.0</v>
      </c>
      <c r="BC43" s="2">
        <v>47.0</v>
      </c>
      <c r="BD43" s="2">
        <v>53.0</v>
      </c>
      <c r="BE43" s="2">
        <v>46.0</v>
      </c>
      <c r="BF43" s="2">
        <v>49.0</v>
      </c>
      <c r="BG43" s="2">
        <v>66.0</v>
      </c>
      <c r="BH43" s="2">
        <v>44.0</v>
      </c>
      <c r="BI43" s="2">
        <v>66.0</v>
      </c>
      <c r="BJ43" s="2">
        <v>45.0</v>
      </c>
      <c r="BK43" s="2">
        <v>52.0</v>
      </c>
      <c r="BL43" s="2">
        <v>28.0</v>
      </c>
      <c r="BM43" s="2">
        <v>26.0</v>
      </c>
      <c r="BN43" s="2">
        <v>32.0</v>
      </c>
      <c r="BO43" s="2">
        <v>49.0</v>
      </c>
      <c r="BP43" s="2">
        <v>55.0</v>
      </c>
    </row>
    <row r="44" ht="15.75" customHeight="1">
      <c r="A44" s="11" t="s">
        <v>235</v>
      </c>
      <c r="B44" s="1">
        <v>28.0</v>
      </c>
      <c r="C44" s="1">
        <v>27.0</v>
      </c>
      <c r="D44" s="1"/>
      <c r="E44" s="1"/>
      <c r="F44" s="1">
        <v>17.0</v>
      </c>
      <c r="G44" s="1">
        <v>26.0</v>
      </c>
      <c r="H44" s="1">
        <v>21.0</v>
      </c>
      <c r="I44" s="1">
        <v>24.0</v>
      </c>
      <c r="J44" s="1">
        <v>24.0</v>
      </c>
      <c r="K44" s="1"/>
      <c r="L44" s="1">
        <v>20.0</v>
      </c>
      <c r="M44" s="1">
        <v>11.0</v>
      </c>
      <c r="N44" s="1">
        <v>10.0</v>
      </c>
      <c r="O44" s="1">
        <v>24.0</v>
      </c>
      <c r="P44" s="1">
        <v>26.0</v>
      </c>
      <c r="Q44" s="1">
        <v>20.0</v>
      </c>
      <c r="R44" s="1">
        <v>11.0</v>
      </c>
      <c r="S44" s="1"/>
      <c r="T44" s="1">
        <v>11.0</v>
      </c>
      <c r="U44" s="1">
        <v>18.0</v>
      </c>
      <c r="V44" s="1">
        <v>14.0</v>
      </c>
      <c r="W44" s="1"/>
      <c r="X44" s="1">
        <v>18.0</v>
      </c>
      <c r="Y44" s="1"/>
      <c r="Z44" s="1">
        <v>28.0</v>
      </c>
      <c r="AA44" s="1">
        <v>23.0</v>
      </c>
      <c r="AB44" s="1">
        <v>17.0</v>
      </c>
      <c r="AC44" s="1">
        <v>16.0</v>
      </c>
      <c r="AD44" s="1">
        <v>26.0</v>
      </c>
      <c r="AE44" s="1">
        <v>36.0</v>
      </c>
      <c r="AF44" s="1">
        <v>26.0</v>
      </c>
      <c r="AG44" s="1">
        <v>22.0</v>
      </c>
      <c r="AH44" s="1">
        <v>15.0</v>
      </c>
      <c r="AI44" s="1">
        <v>23.0</v>
      </c>
      <c r="AJ44" s="1">
        <v>22.0</v>
      </c>
      <c r="AK44" s="1">
        <v>28.0</v>
      </c>
      <c r="AL44" s="1">
        <v>30.0</v>
      </c>
      <c r="AM44" s="1">
        <v>28.0</v>
      </c>
      <c r="AN44" s="1">
        <v>24.0</v>
      </c>
      <c r="AO44" s="1">
        <v>21.0</v>
      </c>
      <c r="AP44" s="1">
        <v>21.0</v>
      </c>
      <c r="AQ44" s="1">
        <v>31.0</v>
      </c>
      <c r="AR44" s="1">
        <v>23.0</v>
      </c>
      <c r="AS44" s="1">
        <v>26.0</v>
      </c>
      <c r="AT44" s="1">
        <v>17.0</v>
      </c>
      <c r="AU44" s="1">
        <v>23.0</v>
      </c>
      <c r="AV44" s="1">
        <v>35.0</v>
      </c>
      <c r="AW44" s="1">
        <v>34.0</v>
      </c>
      <c r="AX44" s="1"/>
      <c r="AY44" s="1">
        <v>28.0</v>
      </c>
      <c r="AZ44" s="1">
        <v>30.0</v>
      </c>
      <c r="BA44" s="1">
        <v>19.0</v>
      </c>
      <c r="BB44" s="1">
        <v>9.0</v>
      </c>
      <c r="BC44" s="2">
        <v>12.0</v>
      </c>
      <c r="BD44" s="2">
        <v>32.0</v>
      </c>
      <c r="BE44" s="2">
        <v>18.0</v>
      </c>
      <c r="BF44" s="2">
        <v>18.0</v>
      </c>
      <c r="BG44" s="2">
        <v>23.0</v>
      </c>
      <c r="BH44" s="2">
        <v>17.0</v>
      </c>
      <c r="BI44" s="2">
        <v>33.0</v>
      </c>
      <c r="BJ44" s="2">
        <v>17.0</v>
      </c>
      <c r="BK44" s="2">
        <v>25.0</v>
      </c>
      <c r="BL44" s="2">
        <v>18.0</v>
      </c>
      <c r="BM44" s="2">
        <v>16.0</v>
      </c>
      <c r="BN44" s="2">
        <v>13.0</v>
      </c>
      <c r="BO44" s="2">
        <v>18.0</v>
      </c>
      <c r="BP44" s="2">
        <v>33.0</v>
      </c>
    </row>
    <row r="45" ht="15.75" customHeight="1">
      <c r="A45" s="3" t="s">
        <v>236</v>
      </c>
      <c r="B45" s="2">
        <v>37.0</v>
      </c>
      <c r="C45" s="2">
        <v>44.0</v>
      </c>
      <c r="F45" s="2">
        <v>21.0</v>
      </c>
      <c r="G45" s="2">
        <v>36.0</v>
      </c>
      <c r="H45" s="2">
        <v>34.0</v>
      </c>
      <c r="I45" s="2">
        <v>29.0</v>
      </c>
      <c r="J45" s="2">
        <v>32.0</v>
      </c>
      <c r="L45" s="2">
        <v>28.0</v>
      </c>
      <c r="M45" s="2">
        <v>16.0</v>
      </c>
      <c r="N45" s="2">
        <v>14.0</v>
      </c>
      <c r="O45" s="2">
        <v>38.0</v>
      </c>
      <c r="P45" s="2">
        <v>36.0</v>
      </c>
      <c r="Q45" s="2">
        <v>31.0</v>
      </c>
      <c r="R45" s="2">
        <v>14.0</v>
      </c>
      <c r="T45" s="2">
        <v>23.0</v>
      </c>
      <c r="U45" s="2">
        <v>23.0</v>
      </c>
      <c r="V45" s="2">
        <v>21.0</v>
      </c>
      <c r="X45" s="2">
        <v>30.0</v>
      </c>
      <c r="Z45" s="2">
        <v>35.0</v>
      </c>
      <c r="AA45" s="2">
        <v>27.0</v>
      </c>
      <c r="AB45" s="2">
        <v>26.0</v>
      </c>
      <c r="AC45" s="2">
        <v>23.0</v>
      </c>
      <c r="AD45" s="2">
        <v>42.0</v>
      </c>
      <c r="AE45" s="2">
        <v>44.0</v>
      </c>
      <c r="AF45" s="2">
        <v>37.0</v>
      </c>
      <c r="AG45" s="2">
        <v>29.0</v>
      </c>
      <c r="AH45" s="2">
        <v>22.0</v>
      </c>
      <c r="AI45" s="2">
        <v>38.0</v>
      </c>
      <c r="AJ45" s="2">
        <v>30.0</v>
      </c>
      <c r="AK45" s="2">
        <v>44.0</v>
      </c>
      <c r="AL45" s="2">
        <v>41.0</v>
      </c>
      <c r="AM45" s="2">
        <v>37.0</v>
      </c>
      <c r="AN45" s="2">
        <v>32.0</v>
      </c>
      <c r="AO45" s="2">
        <v>31.0</v>
      </c>
      <c r="AP45" s="2">
        <v>29.0</v>
      </c>
      <c r="AQ45" s="2">
        <v>41.0</v>
      </c>
      <c r="AR45" s="2">
        <v>36.0</v>
      </c>
      <c r="AS45" s="2">
        <v>37.0</v>
      </c>
      <c r="AT45" s="2">
        <v>24.0</v>
      </c>
      <c r="AU45" s="2">
        <v>32.0</v>
      </c>
      <c r="AV45" s="2">
        <v>41.0</v>
      </c>
      <c r="AW45" s="2">
        <v>46.0</v>
      </c>
      <c r="AY45" s="2">
        <v>43.0</v>
      </c>
      <c r="AZ45" s="2">
        <v>44.0</v>
      </c>
      <c r="BA45" s="2">
        <v>28.0</v>
      </c>
      <c r="BB45" s="2">
        <v>22.0</v>
      </c>
      <c r="BC45" s="2">
        <v>26.0</v>
      </c>
      <c r="BD45" s="2">
        <v>39.0</v>
      </c>
      <c r="BE45" s="2">
        <v>27.0</v>
      </c>
      <c r="BF45" s="2">
        <v>28.0</v>
      </c>
      <c r="BG45" s="2">
        <v>37.0</v>
      </c>
      <c r="BH45" s="2">
        <v>26.0</v>
      </c>
      <c r="BI45" s="2">
        <v>50.0</v>
      </c>
      <c r="BJ45" s="2">
        <v>33.0</v>
      </c>
      <c r="BK45" s="2">
        <v>35.0</v>
      </c>
      <c r="BL45" s="2">
        <v>21.0</v>
      </c>
      <c r="BM45" s="2">
        <v>22.0</v>
      </c>
      <c r="BN45" s="2">
        <v>19.0</v>
      </c>
      <c r="BO45" s="2">
        <v>35.0</v>
      </c>
      <c r="BP45" s="2">
        <v>40.0</v>
      </c>
    </row>
    <row r="46" ht="15.75" customHeight="1">
      <c r="A46" s="11" t="s">
        <v>237</v>
      </c>
      <c r="B46" s="1">
        <v>23.0</v>
      </c>
      <c r="C46" s="1">
        <v>30.0</v>
      </c>
      <c r="D46" s="1"/>
      <c r="E46" s="1"/>
      <c r="F46" s="1">
        <v>18.0</v>
      </c>
      <c r="G46" s="1">
        <v>26.0</v>
      </c>
      <c r="H46" s="1">
        <v>19.0</v>
      </c>
      <c r="I46" s="1">
        <v>19.0</v>
      </c>
      <c r="J46" s="1">
        <v>19.0</v>
      </c>
      <c r="K46" s="1"/>
      <c r="L46" s="1">
        <v>32.0</v>
      </c>
      <c r="M46" s="1">
        <v>10.0</v>
      </c>
      <c r="N46" s="1">
        <v>9.0</v>
      </c>
      <c r="O46" s="1">
        <v>26.0</v>
      </c>
      <c r="P46" s="1">
        <v>26.0</v>
      </c>
      <c r="Q46" s="1">
        <v>17.0</v>
      </c>
      <c r="R46" s="1">
        <v>6.0</v>
      </c>
      <c r="S46" s="1"/>
      <c r="T46" s="1">
        <v>11.0</v>
      </c>
      <c r="U46" s="1">
        <v>18.0</v>
      </c>
      <c r="V46" s="1">
        <v>14.0</v>
      </c>
      <c r="W46" s="1"/>
      <c r="X46" s="1">
        <v>15.0</v>
      </c>
      <c r="Y46" s="1"/>
      <c r="Z46" s="1">
        <v>19.0</v>
      </c>
      <c r="AA46" s="1">
        <v>22.0</v>
      </c>
      <c r="AB46" s="1">
        <v>17.0</v>
      </c>
      <c r="AC46" s="1">
        <v>16.0</v>
      </c>
      <c r="AD46" s="1">
        <v>19.0</v>
      </c>
      <c r="AE46" s="1">
        <v>26.0</v>
      </c>
      <c r="AF46" s="1">
        <v>18.0</v>
      </c>
      <c r="AG46" s="1">
        <v>18.0</v>
      </c>
      <c r="AH46" s="1">
        <v>13.0</v>
      </c>
      <c r="AI46" s="1">
        <v>29.0</v>
      </c>
      <c r="AJ46" s="1">
        <v>20.0</v>
      </c>
      <c r="AK46" s="1">
        <v>26.0</v>
      </c>
      <c r="AL46" s="1">
        <v>27.0</v>
      </c>
      <c r="AM46" s="1">
        <v>28.0</v>
      </c>
      <c r="AN46" s="1">
        <v>15.0</v>
      </c>
      <c r="AO46" s="1">
        <v>19.0</v>
      </c>
      <c r="AP46" s="1">
        <v>21.0</v>
      </c>
      <c r="AQ46" s="1">
        <v>24.0</v>
      </c>
      <c r="AR46" s="1">
        <v>22.0</v>
      </c>
      <c r="AS46" s="1">
        <v>26.0</v>
      </c>
      <c r="AT46" s="1">
        <v>16.0</v>
      </c>
      <c r="AU46" s="1">
        <v>17.0</v>
      </c>
      <c r="AV46" s="1">
        <v>22.0</v>
      </c>
      <c r="AW46" s="1">
        <v>33.0</v>
      </c>
      <c r="AX46" s="1"/>
      <c r="AY46" s="1">
        <v>17.0</v>
      </c>
      <c r="AZ46" s="1">
        <v>22.0</v>
      </c>
      <c r="BA46" s="1">
        <v>18.0</v>
      </c>
      <c r="BB46" s="1">
        <v>8.0</v>
      </c>
      <c r="BC46" s="2">
        <v>12.0</v>
      </c>
      <c r="BD46" s="2">
        <v>32.0</v>
      </c>
      <c r="BE46" s="2">
        <v>24.0</v>
      </c>
      <c r="BF46" s="2">
        <v>18.0</v>
      </c>
      <c r="BG46" s="2">
        <v>23.0</v>
      </c>
      <c r="BH46" s="2">
        <v>17.0</v>
      </c>
      <c r="BI46" s="2">
        <v>19.0</v>
      </c>
      <c r="BJ46" s="2">
        <v>21.0</v>
      </c>
      <c r="BK46" s="2">
        <v>25.0</v>
      </c>
      <c r="BL46" s="2">
        <v>15.0</v>
      </c>
      <c r="BM46" s="2">
        <v>16.0</v>
      </c>
      <c r="BN46" s="2">
        <v>13.0</v>
      </c>
      <c r="BO46" s="2">
        <v>18.0</v>
      </c>
      <c r="BP46" s="2">
        <v>26.0</v>
      </c>
    </row>
    <row r="47" ht="15.75" customHeight="1">
      <c r="A47" s="3" t="s">
        <v>238</v>
      </c>
      <c r="B47" s="2">
        <f t="shared" ref="B47:BP47" si="8">(B45-B46)/B52</f>
        <v>3.783783784</v>
      </c>
      <c r="C47" s="2">
        <f t="shared" si="8"/>
        <v>2.333333333</v>
      </c>
      <c r="D47" s="2" t="str">
        <f t="shared" si="8"/>
        <v>#DIV/0!</v>
      </c>
      <c r="E47" s="2" t="str">
        <f t="shared" si="8"/>
        <v>#DIV/0!</v>
      </c>
      <c r="F47" s="2">
        <f t="shared" si="8"/>
        <v>0.5172413793</v>
      </c>
      <c r="G47" s="2">
        <f t="shared" si="8"/>
        <v>2.222222222</v>
      </c>
      <c r="H47" s="2">
        <f t="shared" si="8"/>
        <v>2.5</v>
      </c>
      <c r="I47" s="2">
        <f t="shared" si="8"/>
        <v>1.754385965</v>
      </c>
      <c r="J47" s="2">
        <f t="shared" si="8"/>
        <v>2.452830189</v>
      </c>
      <c r="K47" s="2" t="str">
        <f t="shared" si="8"/>
        <v>#DIV/0!</v>
      </c>
      <c r="L47" s="2">
        <f t="shared" si="8"/>
        <v>-0.9090909091</v>
      </c>
      <c r="M47" s="2">
        <f t="shared" si="8"/>
        <v>1.176470588</v>
      </c>
      <c r="N47" s="2" t="str">
        <f t="shared" si="8"/>
        <v>#VALUE!</v>
      </c>
      <c r="O47" s="2">
        <f t="shared" si="8"/>
        <v>2.307692308</v>
      </c>
      <c r="P47" s="2">
        <f t="shared" si="8"/>
        <v>1.277139208</v>
      </c>
      <c r="Q47" s="2">
        <f t="shared" si="8"/>
        <v>3.255813953</v>
      </c>
      <c r="R47" s="2">
        <f t="shared" si="8"/>
        <v>1.194029851</v>
      </c>
      <c r="S47" s="2" t="str">
        <f t="shared" si="8"/>
        <v>#DIV/0!</v>
      </c>
      <c r="T47" s="2">
        <f t="shared" si="8"/>
        <v>1.904761905</v>
      </c>
      <c r="U47" s="2">
        <f t="shared" si="8"/>
        <v>1.219512195</v>
      </c>
      <c r="V47" s="2">
        <f t="shared" si="8"/>
        <v>1.044776119</v>
      </c>
      <c r="W47" s="2" t="str">
        <f t="shared" si="8"/>
        <v>#DIV/0!</v>
      </c>
      <c r="X47" s="2">
        <f t="shared" si="8"/>
        <v>3.260869565</v>
      </c>
      <c r="Y47" s="2" t="str">
        <f t="shared" si="8"/>
        <v>#DIV/0!</v>
      </c>
      <c r="Z47" s="2">
        <f t="shared" si="8"/>
        <v>2.53968254</v>
      </c>
      <c r="AA47" s="2">
        <f t="shared" si="8"/>
        <v>0.8928571429</v>
      </c>
      <c r="AB47" s="2">
        <f t="shared" si="8"/>
        <v>2.368421053</v>
      </c>
      <c r="AC47" s="2">
        <f t="shared" si="8"/>
        <v>1.52173913</v>
      </c>
      <c r="AD47" s="2">
        <f t="shared" si="8"/>
        <v>4.6</v>
      </c>
      <c r="AE47" s="2">
        <f t="shared" si="8"/>
        <v>4.736842105</v>
      </c>
      <c r="AF47" s="2">
        <f t="shared" si="8"/>
        <v>3.392857143</v>
      </c>
      <c r="AG47" s="2">
        <f t="shared" si="8"/>
        <v>2.820512821</v>
      </c>
      <c r="AH47" s="2">
        <f t="shared" si="8"/>
        <v>1.384615385</v>
      </c>
      <c r="AI47" s="2">
        <f t="shared" si="8"/>
        <v>2.331606218</v>
      </c>
      <c r="AJ47" s="2">
        <f t="shared" si="8"/>
        <v>2.325581395</v>
      </c>
      <c r="AK47" s="2">
        <f t="shared" si="8"/>
        <v>2.368421053</v>
      </c>
      <c r="AL47" s="2">
        <f t="shared" si="8"/>
        <v>3.888888889</v>
      </c>
      <c r="AM47" s="2">
        <f t="shared" si="8"/>
        <v>1.304347826</v>
      </c>
      <c r="AN47" s="2">
        <f t="shared" si="8"/>
        <v>2.833333333</v>
      </c>
      <c r="AO47" s="2">
        <f t="shared" si="8"/>
        <v>1.621621622</v>
      </c>
      <c r="AP47" s="2">
        <f t="shared" si="8"/>
        <v>1.481481481</v>
      </c>
      <c r="AQ47" s="2">
        <f t="shared" si="8"/>
        <v>3.541666667</v>
      </c>
      <c r="AR47" s="2">
        <f t="shared" si="8"/>
        <v>2.089552239</v>
      </c>
      <c r="AS47" s="2">
        <f t="shared" si="8"/>
        <v>2.5</v>
      </c>
      <c r="AT47" s="2">
        <f t="shared" si="8"/>
        <v>2</v>
      </c>
      <c r="AU47" s="2">
        <f t="shared" si="8"/>
        <v>3.125</v>
      </c>
      <c r="AV47" s="2">
        <f t="shared" si="8"/>
        <v>3.87755102</v>
      </c>
      <c r="AW47" s="2">
        <f t="shared" si="8"/>
        <v>2.5</v>
      </c>
      <c r="AX47" s="2" t="str">
        <f t="shared" si="8"/>
        <v>#DIV/0!</v>
      </c>
      <c r="AY47" s="2">
        <f t="shared" si="8"/>
        <v>4.561403509</v>
      </c>
      <c r="AZ47" s="2">
        <f t="shared" si="8"/>
        <v>4.150943396</v>
      </c>
      <c r="BA47" s="2">
        <f t="shared" si="8"/>
        <v>1.851851852</v>
      </c>
      <c r="BB47" s="2">
        <f t="shared" si="8"/>
        <v>3.181818182</v>
      </c>
      <c r="BC47" s="2">
        <f t="shared" si="8"/>
        <v>1.971830986</v>
      </c>
      <c r="BD47" s="2">
        <f t="shared" si="8"/>
        <v>0.9722222222</v>
      </c>
      <c r="BE47" s="2">
        <f t="shared" si="8"/>
        <v>0.5555555556</v>
      </c>
      <c r="BF47" s="2">
        <f t="shared" si="8"/>
        <v>1.388888889</v>
      </c>
      <c r="BG47" s="2">
        <f t="shared" si="8"/>
        <v>4.375</v>
      </c>
      <c r="BH47" s="2">
        <f t="shared" si="8"/>
        <v>1.25</v>
      </c>
      <c r="BI47" s="2">
        <f t="shared" si="8"/>
        <v>5.166666667</v>
      </c>
      <c r="BJ47" s="2">
        <f t="shared" si="8"/>
        <v>2.608695652</v>
      </c>
      <c r="BK47" s="2">
        <f t="shared" si="8"/>
        <v>3.225806452</v>
      </c>
      <c r="BL47" s="2">
        <f t="shared" si="8"/>
        <v>1.333333333</v>
      </c>
      <c r="BM47" s="2">
        <f t="shared" si="8"/>
        <v>1.034482759</v>
      </c>
      <c r="BN47" s="2">
        <f t="shared" si="8"/>
        <v>0.7692307692</v>
      </c>
      <c r="BO47" s="2">
        <f t="shared" si="8"/>
        <v>2.786885246</v>
      </c>
      <c r="BP47" s="2">
        <f t="shared" si="8"/>
        <v>2.456140351</v>
      </c>
    </row>
    <row r="48" ht="15.75" customHeight="1">
      <c r="A48" s="11" t="s">
        <v>239</v>
      </c>
      <c r="B48" s="1">
        <v>120.0</v>
      </c>
      <c r="C48" s="1">
        <v>96.0</v>
      </c>
      <c r="D48" s="1"/>
      <c r="E48" s="1"/>
      <c r="F48" s="1">
        <v>100.0</v>
      </c>
      <c r="G48" s="1">
        <v>96.0</v>
      </c>
      <c r="H48" s="1">
        <v>117.0</v>
      </c>
      <c r="I48" s="1">
        <v>110.0</v>
      </c>
      <c r="J48" s="1">
        <v>85.0</v>
      </c>
      <c r="K48" s="1"/>
      <c r="L48" s="1">
        <v>96.0</v>
      </c>
      <c r="M48" s="1">
        <v>80.0</v>
      </c>
      <c r="N48" s="1">
        <v>60.0</v>
      </c>
      <c r="O48" s="1">
        <v>102.0</v>
      </c>
      <c r="P48" s="1">
        <v>125.0</v>
      </c>
      <c r="Q48" s="1">
        <v>97.0</v>
      </c>
      <c r="R48" s="1">
        <v>106.0</v>
      </c>
      <c r="S48" s="1"/>
      <c r="T48" s="1">
        <v>82.0</v>
      </c>
      <c r="U48" s="1">
        <v>89.0</v>
      </c>
      <c r="V48" s="1">
        <v>108.0</v>
      </c>
      <c r="W48" s="1"/>
      <c r="X48" s="1">
        <v>120.0</v>
      </c>
      <c r="Y48" s="1"/>
      <c r="Z48" s="1">
        <v>104.0</v>
      </c>
      <c r="AA48" s="1">
        <v>92.0</v>
      </c>
      <c r="AB48" s="1">
        <v>88.0</v>
      </c>
      <c r="AC48" s="1">
        <v>127.0</v>
      </c>
      <c r="AD48" s="1">
        <v>74.0</v>
      </c>
      <c r="AE48" s="1">
        <v>101.0</v>
      </c>
      <c r="AF48" s="1">
        <v>113.0</v>
      </c>
      <c r="AG48" s="1">
        <v>106.0</v>
      </c>
      <c r="AH48" s="1">
        <v>101.0</v>
      </c>
      <c r="AI48" s="1">
        <v>123.0</v>
      </c>
      <c r="AJ48" s="1">
        <v>106.0</v>
      </c>
      <c r="AK48" s="1">
        <v>107.0</v>
      </c>
      <c r="AL48" s="1">
        <v>103.0</v>
      </c>
      <c r="AM48" s="1">
        <v>120.0</v>
      </c>
      <c r="AN48" s="1">
        <v>117.0</v>
      </c>
      <c r="AO48" s="1">
        <v>106.0</v>
      </c>
      <c r="AP48" s="1">
        <v>115.0</v>
      </c>
      <c r="AQ48" s="1">
        <v>95.0</v>
      </c>
      <c r="AR48" s="1">
        <v>105.0</v>
      </c>
      <c r="AS48" s="1">
        <v>112.0</v>
      </c>
      <c r="AT48" s="1">
        <v>95.0</v>
      </c>
      <c r="AU48" s="1">
        <v>126.0</v>
      </c>
      <c r="AV48" s="1">
        <v>83.0</v>
      </c>
      <c r="AW48" s="1">
        <v>78.0</v>
      </c>
      <c r="AX48" s="1">
        <v>107.0</v>
      </c>
      <c r="AY48" s="1">
        <v>125.0</v>
      </c>
      <c r="AZ48" s="1">
        <v>117.0</v>
      </c>
      <c r="BA48" s="1">
        <v>140.0</v>
      </c>
      <c r="BB48" s="1">
        <v>66.0</v>
      </c>
      <c r="BC48" s="2">
        <v>114.0</v>
      </c>
      <c r="BD48" s="2">
        <v>113.0</v>
      </c>
      <c r="BE48" s="2">
        <v>103.0</v>
      </c>
      <c r="BF48" s="2">
        <v>109.0</v>
      </c>
      <c r="BG48" s="2">
        <v>89.0</v>
      </c>
      <c r="BH48" s="2">
        <v>101.0</v>
      </c>
      <c r="BI48" s="2">
        <v>107.0</v>
      </c>
      <c r="BJ48" s="2">
        <v>90.0</v>
      </c>
      <c r="BK48" s="2">
        <v>89.0</v>
      </c>
      <c r="BL48" s="2">
        <v>81.0</v>
      </c>
      <c r="BM48" s="2">
        <v>96.0</v>
      </c>
      <c r="BN48" s="2">
        <v>134.0</v>
      </c>
      <c r="BO48" s="2">
        <v>88.0</v>
      </c>
      <c r="BP48" s="2">
        <v>86.0</v>
      </c>
    </row>
    <row r="49" ht="15.75" customHeight="1">
      <c r="A49" s="11" t="s">
        <v>240</v>
      </c>
      <c r="B49" s="1">
        <v>83.0</v>
      </c>
      <c r="C49" s="1">
        <v>76.0</v>
      </c>
      <c r="D49" s="1"/>
      <c r="E49" s="1"/>
      <c r="F49" s="1">
        <v>80.0</v>
      </c>
      <c r="G49" s="1">
        <v>68.0</v>
      </c>
      <c r="H49" s="1">
        <v>79.0</v>
      </c>
      <c r="I49" s="1">
        <v>79.0</v>
      </c>
      <c r="J49" s="1">
        <v>62.0</v>
      </c>
      <c r="K49" s="1"/>
      <c r="L49" s="1">
        <v>76.0</v>
      </c>
      <c r="M49" s="1">
        <v>68.0</v>
      </c>
      <c r="N49" s="1">
        <v>59.0</v>
      </c>
      <c r="O49" s="1">
        <v>90.0</v>
      </c>
      <c r="P49" s="1">
        <v>68.0</v>
      </c>
      <c r="Q49" s="1">
        <v>80.0</v>
      </c>
      <c r="R49" s="1">
        <v>64.0</v>
      </c>
      <c r="S49" s="1"/>
      <c r="T49" s="1">
        <v>50.0</v>
      </c>
      <c r="U49" s="1">
        <v>65.0</v>
      </c>
      <c r="V49" s="1">
        <v>61.0</v>
      </c>
      <c r="W49" s="1"/>
      <c r="X49" s="1">
        <v>67.0</v>
      </c>
      <c r="Y49" s="1"/>
      <c r="Z49" s="1">
        <v>79.0</v>
      </c>
      <c r="AA49" s="1">
        <v>65.0</v>
      </c>
      <c r="AB49" s="1">
        <v>78.0</v>
      </c>
      <c r="AC49" s="1">
        <v>61.0</v>
      </c>
      <c r="AD49" s="1">
        <v>48.0</v>
      </c>
      <c r="AE49" s="1">
        <v>76.0</v>
      </c>
      <c r="AF49" s="1">
        <v>76.0</v>
      </c>
      <c r="AG49" s="1">
        <v>60.0</v>
      </c>
      <c r="AH49" s="1">
        <v>69.0</v>
      </c>
      <c r="AI49" s="1">
        <v>63.0</v>
      </c>
      <c r="AJ49" s="1">
        <v>60.0</v>
      </c>
      <c r="AK49" s="1">
        <v>62.0</v>
      </c>
      <c r="AL49" s="1">
        <v>71.0</v>
      </c>
      <c r="AM49" s="1">
        <v>76.0</v>
      </c>
      <c r="AN49" s="1">
        <v>72.0</v>
      </c>
      <c r="AO49" s="1">
        <v>67.0</v>
      </c>
      <c r="AP49" s="1">
        <v>68.0</v>
      </c>
      <c r="AQ49" s="1">
        <v>68.0</v>
      </c>
      <c r="AR49" s="1">
        <v>65.0</v>
      </c>
      <c r="AS49" s="1">
        <v>86.0</v>
      </c>
      <c r="AT49" s="1">
        <v>69.0</v>
      </c>
      <c r="AU49" s="1">
        <v>78.0</v>
      </c>
      <c r="AV49" s="1">
        <v>74.0</v>
      </c>
      <c r="AW49" s="1">
        <v>69.0</v>
      </c>
      <c r="AX49" s="1">
        <v>74.0</v>
      </c>
      <c r="AY49" s="1">
        <v>71.0</v>
      </c>
      <c r="AZ49" s="1">
        <v>86.0</v>
      </c>
      <c r="BA49" s="1">
        <v>83.0</v>
      </c>
      <c r="BB49" s="1">
        <v>59.0</v>
      </c>
      <c r="BC49" s="2">
        <v>71.0</v>
      </c>
      <c r="BD49" s="2">
        <v>76.0</v>
      </c>
      <c r="BE49" s="2">
        <v>67.0</v>
      </c>
      <c r="BF49" s="2">
        <v>69.0</v>
      </c>
      <c r="BG49" s="2">
        <v>55.0</v>
      </c>
      <c r="BH49" s="2">
        <v>76.0</v>
      </c>
      <c r="BI49" s="2">
        <v>83.0</v>
      </c>
      <c r="BJ49" s="2">
        <v>58.0</v>
      </c>
      <c r="BK49" s="2">
        <v>96.0</v>
      </c>
      <c r="BL49" s="2">
        <v>67.0</v>
      </c>
      <c r="BM49" s="2">
        <v>58.0</v>
      </c>
      <c r="BN49" s="2">
        <v>75.0</v>
      </c>
      <c r="BO49" s="2">
        <v>64.0</v>
      </c>
      <c r="BP49" s="2">
        <v>74.0</v>
      </c>
    </row>
    <row r="50" ht="15.75" customHeight="1">
      <c r="A50" s="3" t="s">
        <v>241</v>
      </c>
      <c r="B50" s="1">
        <f t="shared" ref="B50:BP50" si="9">((2/3)*B49+(1/3)*B48)</f>
        <v>95.33333333</v>
      </c>
      <c r="C50" s="1">
        <f t="shared" si="9"/>
        <v>82.66666667</v>
      </c>
      <c r="D50" s="1">
        <f t="shared" si="9"/>
        <v>0</v>
      </c>
      <c r="E50" s="1">
        <f t="shared" si="9"/>
        <v>0</v>
      </c>
      <c r="F50" s="1">
        <f t="shared" si="9"/>
        <v>86.66666667</v>
      </c>
      <c r="G50" s="1">
        <f t="shared" si="9"/>
        <v>77.33333333</v>
      </c>
      <c r="H50" s="1">
        <f t="shared" si="9"/>
        <v>91.66666667</v>
      </c>
      <c r="I50" s="1">
        <f t="shared" si="9"/>
        <v>89.33333333</v>
      </c>
      <c r="J50" s="1">
        <f t="shared" si="9"/>
        <v>69.66666667</v>
      </c>
      <c r="K50" s="1">
        <f t="shared" si="9"/>
        <v>0</v>
      </c>
      <c r="L50" s="1">
        <f t="shared" si="9"/>
        <v>82.66666667</v>
      </c>
      <c r="M50" s="1">
        <f t="shared" si="9"/>
        <v>72</v>
      </c>
      <c r="N50" s="1">
        <f t="shared" si="9"/>
        <v>59.33333333</v>
      </c>
      <c r="O50" s="1">
        <f t="shared" si="9"/>
        <v>94</v>
      </c>
      <c r="P50" s="1">
        <f t="shared" si="9"/>
        <v>87</v>
      </c>
      <c r="Q50" s="1">
        <f t="shared" si="9"/>
        <v>85.66666667</v>
      </c>
      <c r="R50" s="1">
        <f t="shared" si="9"/>
        <v>78</v>
      </c>
      <c r="S50" s="1">
        <f t="shared" si="9"/>
        <v>0</v>
      </c>
      <c r="T50" s="1">
        <f t="shared" si="9"/>
        <v>60.66666667</v>
      </c>
      <c r="U50" s="1">
        <f t="shared" si="9"/>
        <v>73</v>
      </c>
      <c r="V50" s="1">
        <f t="shared" si="9"/>
        <v>76.66666667</v>
      </c>
      <c r="W50" s="1">
        <f t="shared" si="9"/>
        <v>0</v>
      </c>
      <c r="X50" s="1">
        <f t="shared" si="9"/>
        <v>84.66666667</v>
      </c>
      <c r="Y50" s="1">
        <f t="shared" si="9"/>
        <v>0</v>
      </c>
      <c r="Z50" s="1">
        <f t="shared" si="9"/>
        <v>87.33333333</v>
      </c>
      <c r="AA50" s="1">
        <f t="shared" si="9"/>
        <v>74</v>
      </c>
      <c r="AB50" s="1">
        <f t="shared" si="9"/>
        <v>81.33333333</v>
      </c>
      <c r="AC50" s="1">
        <f t="shared" si="9"/>
        <v>83</v>
      </c>
      <c r="AD50" s="1">
        <f t="shared" si="9"/>
        <v>56.66666667</v>
      </c>
      <c r="AE50" s="1">
        <f t="shared" si="9"/>
        <v>84.33333333</v>
      </c>
      <c r="AF50" s="1">
        <f t="shared" si="9"/>
        <v>88.33333333</v>
      </c>
      <c r="AG50" s="1">
        <f t="shared" si="9"/>
        <v>75.33333333</v>
      </c>
      <c r="AH50" s="1">
        <f t="shared" si="9"/>
        <v>79.66666667</v>
      </c>
      <c r="AI50" s="1">
        <f t="shared" si="9"/>
        <v>83</v>
      </c>
      <c r="AJ50" s="1">
        <f t="shared" si="9"/>
        <v>75.33333333</v>
      </c>
      <c r="AK50" s="1">
        <f t="shared" si="9"/>
        <v>77</v>
      </c>
      <c r="AL50" s="1">
        <f t="shared" si="9"/>
        <v>81.66666667</v>
      </c>
      <c r="AM50" s="1">
        <f t="shared" si="9"/>
        <v>90.66666667</v>
      </c>
      <c r="AN50" s="1">
        <f t="shared" si="9"/>
        <v>87</v>
      </c>
      <c r="AO50" s="1">
        <f t="shared" si="9"/>
        <v>80</v>
      </c>
      <c r="AP50" s="1">
        <f t="shared" si="9"/>
        <v>83.66666667</v>
      </c>
      <c r="AQ50" s="1">
        <f t="shared" si="9"/>
        <v>77</v>
      </c>
      <c r="AR50" s="1">
        <f t="shared" si="9"/>
        <v>78.33333333</v>
      </c>
      <c r="AS50" s="1">
        <f t="shared" si="9"/>
        <v>94.66666667</v>
      </c>
      <c r="AT50" s="1">
        <f t="shared" si="9"/>
        <v>77.66666667</v>
      </c>
      <c r="AU50" s="1">
        <f t="shared" si="9"/>
        <v>94</v>
      </c>
      <c r="AV50" s="1">
        <f t="shared" si="9"/>
        <v>77</v>
      </c>
      <c r="AW50" s="1">
        <f t="shared" si="9"/>
        <v>72</v>
      </c>
      <c r="AX50" s="1">
        <f t="shared" si="9"/>
        <v>85</v>
      </c>
      <c r="AY50" s="1">
        <f t="shared" si="9"/>
        <v>89</v>
      </c>
      <c r="AZ50" s="1">
        <f t="shared" si="9"/>
        <v>96.33333333</v>
      </c>
      <c r="BA50" s="1">
        <f t="shared" si="9"/>
        <v>102</v>
      </c>
      <c r="BB50" s="1">
        <f t="shared" si="9"/>
        <v>61.33333333</v>
      </c>
      <c r="BC50" s="1">
        <f t="shared" si="9"/>
        <v>85.33333333</v>
      </c>
      <c r="BD50" s="1">
        <f t="shared" si="9"/>
        <v>88.33333333</v>
      </c>
      <c r="BE50" s="1">
        <f t="shared" si="9"/>
        <v>79</v>
      </c>
      <c r="BF50" s="1">
        <f t="shared" si="9"/>
        <v>82.33333333</v>
      </c>
      <c r="BG50" s="1">
        <f t="shared" si="9"/>
        <v>66.33333333</v>
      </c>
      <c r="BH50" s="1">
        <f t="shared" si="9"/>
        <v>84.33333333</v>
      </c>
      <c r="BI50" s="1">
        <f t="shared" si="9"/>
        <v>91</v>
      </c>
      <c r="BJ50" s="1">
        <f t="shared" si="9"/>
        <v>68.66666667</v>
      </c>
      <c r="BK50" s="1">
        <f t="shared" si="9"/>
        <v>93.66666667</v>
      </c>
      <c r="BL50" s="1">
        <f t="shared" si="9"/>
        <v>71.66666667</v>
      </c>
      <c r="BM50" s="1">
        <f t="shared" si="9"/>
        <v>70.66666667</v>
      </c>
      <c r="BN50" s="1">
        <f t="shared" si="9"/>
        <v>94.66666667</v>
      </c>
      <c r="BO50" s="1">
        <f t="shared" si="9"/>
        <v>72</v>
      </c>
      <c r="BP50" s="1">
        <f t="shared" si="9"/>
        <v>78</v>
      </c>
    </row>
    <row r="51" ht="15.75" customHeight="1">
      <c r="A51" s="11" t="s">
        <v>242</v>
      </c>
      <c r="B51" s="1">
        <v>94.0</v>
      </c>
      <c r="C51" s="1">
        <v>116.0</v>
      </c>
      <c r="D51" s="1"/>
      <c r="E51" s="1"/>
      <c r="F51" s="1">
        <v>114.0</v>
      </c>
      <c r="G51" s="1">
        <v>125.0</v>
      </c>
      <c r="H51" s="1">
        <v>108.0</v>
      </c>
      <c r="I51" s="1">
        <v>80.0</v>
      </c>
      <c r="J51" s="1">
        <v>99.0</v>
      </c>
      <c r="K51" s="1"/>
      <c r="L51" s="1">
        <v>84.0</v>
      </c>
      <c r="M51" s="1">
        <v>74.0</v>
      </c>
      <c r="N51" s="1">
        <v>62.0</v>
      </c>
      <c r="O51" s="1">
        <v>80.0</v>
      </c>
      <c r="P51" s="1">
        <v>88.0</v>
      </c>
      <c r="Q51" s="1">
        <v>80.0</v>
      </c>
      <c r="R51" s="1">
        <v>60.0</v>
      </c>
      <c r="S51" s="1"/>
      <c r="T51" s="1">
        <v>105.0</v>
      </c>
      <c r="U51" s="1">
        <v>87.0</v>
      </c>
      <c r="V51" s="1">
        <v>110.0</v>
      </c>
      <c r="W51" s="1"/>
      <c r="X51" s="1">
        <v>77.0</v>
      </c>
      <c r="Y51" s="1"/>
      <c r="Z51" s="1">
        <v>116.0</v>
      </c>
      <c r="AA51" s="1">
        <v>104.0</v>
      </c>
      <c r="AB51" s="1">
        <v>58.0</v>
      </c>
      <c r="AC51" s="1">
        <v>90.0</v>
      </c>
      <c r="AD51" s="1">
        <v>80.0</v>
      </c>
      <c r="AE51" s="1">
        <v>80.0</v>
      </c>
      <c r="AF51" s="1">
        <v>80.0</v>
      </c>
      <c r="AG51" s="1">
        <v>54.0</v>
      </c>
      <c r="AH51" s="1">
        <v>96.0</v>
      </c>
      <c r="AI51" s="1">
        <v>56.0</v>
      </c>
      <c r="AJ51" s="1">
        <v>106.0</v>
      </c>
      <c r="AK51" s="1">
        <v>80.0</v>
      </c>
      <c r="AL51" s="1">
        <v>85.0</v>
      </c>
      <c r="AM51" s="1">
        <v>107.0</v>
      </c>
      <c r="AN51" s="1">
        <v>88.0</v>
      </c>
      <c r="AO51" s="1">
        <v>89.0</v>
      </c>
      <c r="AP51" s="1">
        <v>95.0</v>
      </c>
      <c r="AQ51" s="1">
        <v>107.0</v>
      </c>
      <c r="AR51" s="1">
        <v>75.0</v>
      </c>
      <c r="AS51" s="1">
        <v>112.0</v>
      </c>
      <c r="AT51" s="1">
        <v>69.0</v>
      </c>
      <c r="AU51" s="1">
        <v>80.0</v>
      </c>
      <c r="AV51" s="1">
        <v>102.0</v>
      </c>
      <c r="AW51" s="1">
        <v>109.0</v>
      </c>
      <c r="AX51" s="1">
        <v>83.0</v>
      </c>
      <c r="AY51" s="1">
        <v>109.0</v>
      </c>
      <c r="AZ51" s="1">
        <v>93.0</v>
      </c>
      <c r="BA51" s="1">
        <v>67.0</v>
      </c>
      <c r="BB51" s="1">
        <v>65.0</v>
      </c>
      <c r="BC51" s="2">
        <v>122.0</v>
      </c>
      <c r="BD51" s="2">
        <v>114.0</v>
      </c>
      <c r="BE51" s="2">
        <v>118.0</v>
      </c>
      <c r="BF51" s="2">
        <v>75.0</v>
      </c>
      <c r="BG51" s="2">
        <v>75.0</v>
      </c>
      <c r="BH51" s="2">
        <v>118.0</v>
      </c>
      <c r="BI51" s="2">
        <v>117.0</v>
      </c>
      <c r="BJ51" s="2">
        <v>90.0</v>
      </c>
      <c r="BK51" s="2">
        <v>76.0</v>
      </c>
      <c r="BL51" s="2">
        <v>73.0</v>
      </c>
      <c r="BM51" s="2">
        <v>107.0</v>
      </c>
      <c r="BN51" s="2">
        <v>70.0</v>
      </c>
      <c r="BO51" s="2">
        <v>97.0</v>
      </c>
      <c r="BP51" s="2">
        <v>138.0</v>
      </c>
    </row>
    <row r="52" ht="15.75" customHeight="1">
      <c r="A52" s="11" t="s">
        <v>243</v>
      </c>
      <c r="B52" s="1">
        <v>3.7</v>
      </c>
      <c r="C52" s="1">
        <v>6.0</v>
      </c>
      <c r="D52" s="1"/>
      <c r="E52" s="1"/>
      <c r="F52" s="1">
        <v>5.8</v>
      </c>
      <c r="G52" s="1">
        <v>4.5</v>
      </c>
      <c r="H52" s="1">
        <v>6.0</v>
      </c>
      <c r="I52" s="1">
        <v>5.7</v>
      </c>
      <c r="J52" s="1">
        <v>5.3</v>
      </c>
      <c r="K52" s="1"/>
      <c r="L52" s="1">
        <v>4.4</v>
      </c>
      <c r="M52" s="1">
        <v>5.1</v>
      </c>
      <c r="N52" s="1" t="s">
        <v>232</v>
      </c>
      <c r="O52" s="1">
        <v>5.2</v>
      </c>
      <c r="P52" s="1">
        <v>7.83</v>
      </c>
      <c r="Q52" s="1">
        <v>4.3</v>
      </c>
      <c r="R52" s="1">
        <v>6.7</v>
      </c>
      <c r="S52" s="1"/>
      <c r="T52" s="1">
        <v>6.3</v>
      </c>
      <c r="U52" s="1">
        <v>4.1</v>
      </c>
      <c r="V52" s="1">
        <v>6.7</v>
      </c>
      <c r="W52" s="1"/>
      <c r="X52" s="1">
        <v>4.6</v>
      </c>
      <c r="Y52" s="1"/>
      <c r="Z52" s="1">
        <v>6.3</v>
      </c>
      <c r="AA52" s="1">
        <v>5.6</v>
      </c>
      <c r="AB52" s="1">
        <v>3.8</v>
      </c>
      <c r="AC52" s="1">
        <v>4.6</v>
      </c>
      <c r="AD52" s="1">
        <v>5.0</v>
      </c>
      <c r="AE52" s="1">
        <v>3.8</v>
      </c>
      <c r="AF52" s="1">
        <v>5.6</v>
      </c>
      <c r="AG52" s="1">
        <v>3.9</v>
      </c>
      <c r="AH52" s="1">
        <v>6.5</v>
      </c>
      <c r="AI52" s="1">
        <v>3.86</v>
      </c>
      <c r="AJ52" s="1">
        <v>4.3</v>
      </c>
      <c r="AK52" s="1">
        <v>7.6</v>
      </c>
      <c r="AL52" s="1">
        <v>3.6</v>
      </c>
      <c r="AM52" s="1">
        <v>6.9</v>
      </c>
      <c r="AN52" s="1">
        <v>6.0</v>
      </c>
      <c r="AO52" s="1">
        <v>7.4</v>
      </c>
      <c r="AP52" s="1">
        <v>5.4</v>
      </c>
      <c r="AQ52" s="1">
        <v>4.8</v>
      </c>
      <c r="AR52" s="1">
        <v>6.7</v>
      </c>
      <c r="AS52" s="1">
        <v>4.4</v>
      </c>
      <c r="AT52" s="1">
        <v>4.0</v>
      </c>
      <c r="AU52" s="1">
        <v>4.8</v>
      </c>
      <c r="AV52" s="1">
        <v>4.9</v>
      </c>
      <c r="AW52" s="1">
        <v>5.2</v>
      </c>
      <c r="AX52" s="1"/>
      <c r="AY52" s="1">
        <v>5.7</v>
      </c>
      <c r="AZ52" s="1">
        <v>5.3</v>
      </c>
      <c r="BA52" s="1">
        <v>5.4</v>
      </c>
      <c r="BB52" s="1">
        <v>4.4</v>
      </c>
      <c r="BC52" s="2">
        <v>7.1</v>
      </c>
      <c r="BD52" s="2">
        <v>7.2</v>
      </c>
      <c r="BE52" s="2">
        <v>5.4</v>
      </c>
      <c r="BF52" s="2">
        <v>7.2</v>
      </c>
      <c r="BG52" s="2">
        <v>3.2</v>
      </c>
      <c r="BH52" s="2">
        <v>7.2</v>
      </c>
      <c r="BI52" s="2">
        <v>6.0</v>
      </c>
      <c r="BJ52" s="2">
        <v>4.6</v>
      </c>
      <c r="BK52" s="2">
        <v>3.1</v>
      </c>
      <c r="BL52" s="2">
        <v>4.5</v>
      </c>
      <c r="BM52" s="2">
        <v>5.8</v>
      </c>
      <c r="BN52" s="2">
        <v>7.8</v>
      </c>
      <c r="BO52" s="2">
        <v>6.1</v>
      </c>
      <c r="BP52" s="2">
        <v>5.7</v>
      </c>
    </row>
    <row r="53" ht="15.75" customHeight="1">
      <c r="A53" s="3" t="s">
        <v>244</v>
      </c>
      <c r="B53" s="1">
        <f t="shared" ref="B53:BP53" si="10">B52/B51</f>
        <v>0.03936170213</v>
      </c>
      <c r="C53" s="1">
        <f t="shared" si="10"/>
        <v>0.05172413793</v>
      </c>
      <c r="D53" s="1" t="str">
        <f t="shared" si="10"/>
        <v>#DIV/0!</v>
      </c>
      <c r="E53" s="1" t="str">
        <f t="shared" si="10"/>
        <v>#DIV/0!</v>
      </c>
      <c r="F53" s="1">
        <f t="shared" si="10"/>
        <v>0.05087719298</v>
      </c>
      <c r="G53" s="1">
        <f t="shared" si="10"/>
        <v>0.036</v>
      </c>
      <c r="H53" s="1">
        <f t="shared" si="10"/>
        <v>0.05555555556</v>
      </c>
      <c r="I53" s="1">
        <f t="shared" si="10"/>
        <v>0.07125</v>
      </c>
      <c r="J53" s="1">
        <f t="shared" si="10"/>
        <v>0.05353535354</v>
      </c>
      <c r="K53" s="1" t="str">
        <f t="shared" si="10"/>
        <v>#DIV/0!</v>
      </c>
      <c r="L53" s="1">
        <f t="shared" si="10"/>
        <v>0.05238095238</v>
      </c>
      <c r="M53" s="1">
        <f t="shared" si="10"/>
        <v>0.06891891892</v>
      </c>
      <c r="N53" s="1" t="str">
        <f t="shared" si="10"/>
        <v>#VALUE!</v>
      </c>
      <c r="O53" s="1">
        <f t="shared" si="10"/>
        <v>0.065</v>
      </c>
      <c r="P53" s="1">
        <f t="shared" si="10"/>
        <v>0.08897727273</v>
      </c>
      <c r="Q53" s="1">
        <f t="shared" si="10"/>
        <v>0.05375</v>
      </c>
      <c r="R53" s="1">
        <f t="shared" si="10"/>
        <v>0.1116666667</v>
      </c>
      <c r="S53" s="1" t="str">
        <f t="shared" si="10"/>
        <v>#DIV/0!</v>
      </c>
      <c r="T53" s="1">
        <f t="shared" si="10"/>
        <v>0.06</v>
      </c>
      <c r="U53" s="1">
        <f t="shared" si="10"/>
        <v>0.04712643678</v>
      </c>
      <c r="V53" s="1">
        <f t="shared" si="10"/>
        <v>0.06090909091</v>
      </c>
      <c r="W53" s="1" t="str">
        <f t="shared" si="10"/>
        <v>#DIV/0!</v>
      </c>
      <c r="X53" s="1">
        <f t="shared" si="10"/>
        <v>0.05974025974</v>
      </c>
      <c r="Y53" s="1" t="str">
        <f t="shared" si="10"/>
        <v>#DIV/0!</v>
      </c>
      <c r="Z53" s="1">
        <f t="shared" si="10"/>
        <v>0.05431034483</v>
      </c>
      <c r="AA53" s="1">
        <f t="shared" si="10"/>
        <v>0.05384615385</v>
      </c>
      <c r="AB53" s="1">
        <f t="shared" si="10"/>
        <v>0.06551724138</v>
      </c>
      <c r="AC53" s="1">
        <f t="shared" si="10"/>
        <v>0.05111111111</v>
      </c>
      <c r="AD53" s="1">
        <f t="shared" si="10"/>
        <v>0.0625</v>
      </c>
      <c r="AE53" s="1">
        <f t="shared" si="10"/>
        <v>0.0475</v>
      </c>
      <c r="AF53" s="1">
        <f t="shared" si="10"/>
        <v>0.07</v>
      </c>
      <c r="AG53" s="1">
        <f t="shared" si="10"/>
        <v>0.07222222222</v>
      </c>
      <c r="AH53" s="1">
        <f t="shared" si="10"/>
        <v>0.06770833333</v>
      </c>
      <c r="AI53" s="1">
        <f t="shared" si="10"/>
        <v>0.06892857143</v>
      </c>
      <c r="AJ53" s="1">
        <f t="shared" si="10"/>
        <v>0.04056603774</v>
      </c>
      <c r="AK53" s="1">
        <f t="shared" si="10"/>
        <v>0.095</v>
      </c>
      <c r="AL53" s="1">
        <f t="shared" si="10"/>
        <v>0.04235294118</v>
      </c>
      <c r="AM53" s="1">
        <f t="shared" si="10"/>
        <v>0.06448598131</v>
      </c>
      <c r="AN53" s="1">
        <f t="shared" si="10"/>
        <v>0.06818181818</v>
      </c>
      <c r="AO53" s="1">
        <f t="shared" si="10"/>
        <v>0.08314606742</v>
      </c>
      <c r="AP53" s="1">
        <f t="shared" si="10"/>
        <v>0.05684210526</v>
      </c>
      <c r="AQ53" s="1">
        <f t="shared" si="10"/>
        <v>0.04485981308</v>
      </c>
      <c r="AR53" s="1">
        <f t="shared" si="10"/>
        <v>0.08933333333</v>
      </c>
      <c r="AS53" s="1">
        <f t="shared" si="10"/>
        <v>0.03928571429</v>
      </c>
      <c r="AT53" s="1">
        <f t="shared" si="10"/>
        <v>0.05797101449</v>
      </c>
      <c r="AU53" s="1">
        <f t="shared" si="10"/>
        <v>0.06</v>
      </c>
      <c r="AV53" s="1">
        <f t="shared" si="10"/>
        <v>0.04803921569</v>
      </c>
      <c r="AW53" s="1">
        <f t="shared" si="10"/>
        <v>0.04770642202</v>
      </c>
      <c r="AX53" s="1">
        <f t="shared" si="10"/>
        <v>0</v>
      </c>
      <c r="AY53" s="1">
        <f t="shared" si="10"/>
        <v>0.05229357798</v>
      </c>
      <c r="AZ53" s="1">
        <f t="shared" si="10"/>
        <v>0.05698924731</v>
      </c>
      <c r="BA53" s="1">
        <f t="shared" si="10"/>
        <v>0.08059701493</v>
      </c>
      <c r="BB53" s="1">
        <f t="shared" si="10"/>
        <v>0.06769230769</v>
      </c>
      <c r="BC53" s="1">
        <f t="shared" si="10"/>
        <v>0.05819672131</v>
      </c>
      <c r="BD53" s="1">
        <f t="shared" si="10"/>
        <v>0.06315789474</v>
      </c>
      <c r="BE53" s="1">
        <f t="shared" si="10"/>
        <v>0.04576271186</v>
      </c>
      <c r="BF53" s="1">
        <f t="shared" si="10"/>
        <v>0.096</v>
      </c>
      <c r="BG53" s="1">
        <f t="shared" si="10"/>
        <v>0.04266666667</v>
      </c>
      <c r="BH53" s="1">
        <f t="shared" si="10"/>
        <v>0.06101694915</v>
      </c>
      <c r="BI53" s="1">
        <f t="shared" si="10"/>
        <v>0.05128205128</v>
      </c>
      <c r="BJ53" s="1">
        <f t="shared" si="10"/>
        <v>0.05111111111</v>
      </c>
      <c r="BK53" s="1">
        <f t="shared" si="10"/>
        <v>0.04078947368</v>
      </c>
      <c r="BL53" s="1">
        <f t="shared" si="10"/>
        <v>0.06164383562</v>
      </c>
      <c r="BM53" s="1">
        <f t="shared" si="10"/>
        <v>0.05420560748</v>
      </c>
      <c r="BN53" s="1">
        <f t="shared" si="10"/>
        <v>0.1114285714</v>
      </c>
      <c r="BO53" s="1">
        <f t="shared" si="10"/>
        <v>0.06288659794</v>
      </c>
      <c r="BP53" s="1">
        <f t="shared" si="10"/>
        <v>0.04130434783</v>
      </c>
    </row>
    <row r="54" ht="15.75" customHeight="1">
      <c r="A54" s="11" t="s">
        <v>245</v>
      </c>
      <c r="B54" s="1">
        <v>73.8</v>
      </c>
      <c r="C54" s="1">
        <v>63.8</v>
      </c>
      <c r="D54" s="1"/>
      <c r="E54" s="1"/>
      <c r="F54" s="1">
        <v>63.7</v>
      </c>
      <c r="G54" s="1">
        <v>65.0</v>
      </c>
      <c r="H54" s="1">
        <v>70.0</v>
      </c>
      <c r="I54" s="1">
        <v>72.0</v>
      </c>
      <c r="J54" s="1">
        <v>74.5</v>
      </c>
      <c r="K54" s="10"/>
      <c r="L54" s="10">
        <v>71.0</v>
      </c>
      <c r="M54" s="1">
        <v>65.7</v>
      </c>
      <c r="N54" s="10">
        <v>84.3</v>
      </c>
      <c r="O54" s="1">
        <v>68.2</v>
      </c>
      <c r="P54" s="1">
        <v>66.2</v>
      </c>
      <c r="Q54" s="1">
        <v>59.0</v>
      </c>
      <c r="R54" s="1"/>
      <c r="S54" s="1"/>
      <c r="T54" s="1"/>
      <c r="U54" s="1">
        <v>64.4</v>
      </c>
      <c r="V54" s="1"/>
      <c r="W54" s="1"/>
      <c r="X54" s="1">
        <v>65.8</v>
      </c>
      <c r="Y54" s="1"/>
      <c r="Z54" s="1"/>
      <c r="AA54" s="1">
        <v>65.1</v>
      </c>
      <c r="AB54" s="1">
        <v>60.5</v>
      </c>
      <c r="AC54" s="2">
        <v>62.0</v>
      </c>
      <c r="AD54" s="1"/>
      <c r="AE54" s="1">
        <v>63.0</v>
      </c>
      <c r="AF54" s="1"/>
      <c r="AG54" s="1"/>
      <c r="AH54" s="1"/>
      <c r="AI54" s="1">
        <v>56.5</v>
      </c>
      <c r="AJ54" s="1">
        <v>57.4</v>
      </c>
      <c r="AK54" s="1">
        <v>65.0</v>
      </c>
      <c r="AL54" s="1">
        <v>59.4</v>
      </c>
      <c r="AM54" s="1">
        <v>70.3</v>
      </c>
      <c r="AN54" s="1">
        <v>80.3</v>
      </c>
      <c r="AO54" s="1">
        <v>69.2</v>
      </c>
      <c r="AP54" s="1">
        <v>55.8</v>
      </c>
      <c r="AQ54" s="1">
        <v>62.1</v>
      </c>
      <c r="AR54" s="1">
        <v>70.5</v>
      </c>
      <c r="AS54" s="1">
        <v>61.2</v>
      </c>
      <c r="AT54" s="1">
        <v>61.5</v>
      </c>
      <c r="AU54" s="1">
        <v>67.5</v>
      </c>
      <c r="AV54" s="1">
        <v>65.7</v>
      </c>
      <c r="AW54" s="1">
        <v>53.9</v>
      </c>
      <c r="AX54" s="1">
        <v>52.1</v>
      </c>
      <c r="AY54" s="1">
        <v>69.0</v>
      </c>
      <c r="AZ54" s="1">
        <v>66.5</v>
      </c>
      <c r="BA54" s="1">
        <v>59.3</v>
      </c>
      <c r="BB54" s="1">
        <v>85.6</v>
      </c>
      <c r="BC54" s="2">
        <v>53.0</v>
      </c>
      <c r="BD54" s="2">
        <v>70.7</v>
      </c>
      <c r="BE54" s="2">
        <v>53.2</v>
      </c>
      <c r="BF54" s="2">
        <v>75.2</v>
      </c>
      <c r="BG54" s="2">
        <v>58.5</v>
      </c>
      <c r="BH54" s="2">
        <v>67.7</v>
      </c>
      <c r="BI54" s="2">
        <v>69.7</v>
      </c>
      <c r="BJ54" s="2">
        <v>72.8</v>
      </c>
      <c r="BK54" s="2">
        <v>54.1</v>
      </c>
      <c r="BL54" s="2">
        <v>65.0</v>
      </c>
      <c r="BM54" s="2">
        <v>58.1</v>
      </c>
      <c r="BN54" s="2">
        <v>62.5</v>
      </c>
      <c r="BO54" s="2">
        <v>58.3</v>
      </c>
      <c r="BP54" s="2">
        <v>44.4</v>
      </c>
    </row>
    <row r="55" ht="15.75" customHeight="1">
      <c r="A55" s="11" t="s">
        <v>246</v>
      </c>
      <c r="B55" s="1">
        <v>100.0</v>
      </c>
      <c r="C55" s="1">
        <v>98.0</v>
      </c>
      <c r="D55" s="1"/>
      <c r="E55" s="1"/>
      <c r="F55" s="1">
        <v>95.0</v>
      </c>
      <c r="G55" s="1">
        <v>98.0</v>
      </c>
      <c r="H55" s="1">
        <v>99.0</v>
      </c>
      <c r="I55" s="1">
        <v>97.0</v>
      </c>
      <c r="J55" s="1">
        <v>95.0</v>
      </c>
      <c r="K55" s="1"/>
      <c r="L55" s="1">
        <v>99.0</v>
      </c>
      <c r="M55" s="1">
        <v>100.0</v>
      </c>
      <c r="N55" s="1">
        <v>97.0</v>
      </c>
      <c r="O55" s="1">
        <v>97.0</v>
      </c>
      <c r="P55" s="1">
        <v>95.0</v>
      </c>
      <c r="Q55" s="1">
        <v>99.0</v>
      </c>
      <c r="R55" s="1">
        <v>98.0</v>
      </c>
      <c r="S55" s="1"/>
      <c r="T55" s="1">
        <v>98.0</v>
      </c>
      <c r="U55" s="1">
        <v>95.0</v>
      </c>
      <c r="V55" s="1">
        <v>97.0</v>
      </c>
      <c r="W55" s="1"/>
      <c r="X55" s="1">
        <v>98.0</v>
      </c>
      <c r="Y55" s="1"/>
      <c r="Z55" s="1">
        <v>96.0</v>
      </c>
      <c r="AA55" s="1">
        <v>96.0</v>
      </c>
      <c r="AB55" s="1">
        <v>98.0</v>
      </c>
      <c r="AC55" s="1">
        <v>99.0</v>
      </c>
      <c r="AD55" s="1"/>
      <c r="AE55" s="1">
        <v>98.0</v>
      </c>
      <c r="AF55" s="1"/>
      <c r="AG55" s="1"/>
      <c r="AH55" s="1"/>
      <c r="AI55" s="1">
        <v>95.0</v>
      </c>
      <c r="AJ55" s="1">
        <v>98.0</v>
      </c>
      <c r="AK55" s="1">
        <v>95.0</v>
      </c>
      <c r="AL55" s="1">
        <v>96.0</v>
      </c>
      <c r="AM55" s="1">
        <v>96.0</v>
      </c>
      <c r="AN55" s="1">
        <v>98.0</v>
      </c>
      <c r="AO55" s="1">
        <v>97.0</v>
      </c>
      <c r="AP55" s="1">
        <v>98.0</v>
      </c>
      <c r="AQ55" s="1">
        <v>95.0</v>
      </c>
      <c r="AR55" s="1">
        <v>94.0</v>
      </c>
      <c r="AS55" s="1">
        <v>100.0</v>
      </c>
      <c r="AT55" s="1">
        <v>97.0</v>
      </c>
      <c r="AU55" s="1">
        <v>96.0</v>
      </c>
      <c r="AV55" s="1">
        <v>99.0</v>
      </c>
      <c r="AW55" s="1">
        <v>94.0</v>
      </c>
      <c r="AX55" s="1"/>
      <c r="AY55" s="1">
        <v>94.0</v>
      </c>
      <c r="AZ55" s="1">
        <v>99.0</v>
      </c>
      <c r="BA55" s="1">
        <v>98.0</v>
      </c>
      <c r="BB55" s="1">
        <v>99.0</v>
      </c>
      <c r="BC55" s="2">
        <v>98.0</v>
      </c>
      <c r="BD55" s="2">
        <v>95.0</v>
      </c>
      <c r="BE55" s="2">
        <v>96.0</v>
      </c>
      <c r="BF55" s="2">
        <v>95.0</v>
      </c>
      <c r="BG55" s="2">
        <v>92.0</v>
      </c>
      <c r="BH55" s="2">
        <v>98.0</v>
      </c>
      <c r="BI55" s="2">
        <v>95.0</v>
      </c>
      <c r="BJ55" s="2">
        <v>97.0</v>
      </c>
      <c r="BK55" s="2">
        <v>98.0</v>
      </c>
      <c r="BL55" s="2">
        <v>96.0</v>
      </c>
      <c r="BM55" s="2">
        <v>95.0</v>
      </c>
      <c r="BN55" s="2">
        <v>98.0</v>
      </c>
      <c r="BO55" s="2">
        <v>94.0</v>
      </c>
      <c r="BP55" s="2">
        <v>97.0</v>
      </c>
    </row>
    <row r="56" ht="15.75" customHeight="1">
      <c r="A56" s="2" t="s">
        <v>247</v>
      </c>
      <c r="B56" s="1">
        <f t="shared" ref="B56:BP56" si="11">(B43-B44)/B40</f>
        <v>3.857142857</v>
      </c>
      <c r="C56" s="1">
        <f t="shared" si="11"/>
        <v>1.777777778</v>
      </c>
      <c r="D56" s="1" t="str">
        <f t="shared" si="11"/>
        <v>#DIV/0!</v>
      </c>
      <c r="E56" s="1">
        <f t="shared" si="11"/>
        <v>0</v>
      </c>
      <c r="F56" s="1">
        <f t="shared" si="11"/>
        <v>1.3</v>
      </c>
      <c r="G56" s="1">
        <f t="shared" si="11"/>
        <v>4.428571429</v>
      </c>
      <c r="H56" s="1">
        <f t="shared" si="11"/>
        <v>7.2</v>
      </c>
      <c r="I56" s="1">
        <f t="shared" si="11"/>
        <v>2.428571429</v>
      </c>
      <c r="J56" s="1">
        <f t="shared" si="11"/>
        <v>1.642857143</v>
      </c>
      <c r="K56" s="1" t="str">
        <f t="shared" si="11"/>
        <v>#DIV/0!</v>
      </c>
      <c r="L56" s="1">
        <f t="shared" si="11"/>
        <v>1.666666667</v>
      </c>
      <c r="M56" s="1">
        <f t="shared" si="11"/>
        <v>2</v>
      </c>
      <c r="N56" s="1">
        <f t="shared" si="11"/>
        <v>0.8666666667</v>
      </c>
      <c r="O56" s="1">
        <f t="shared" si="11"/>
        <v>2.384615385</v>
      </c>
      <c r="P56" s="1">
        <f t="shared" si="11"/>
        <v>4.833333333</v>
      </c>
      <c r="Q56" s="1">
        <f t="shared" si="11"/>
        <v>1.941176471</v>
      </c>
      <c r="R56" s="1">
        <f t="shared" si="11"/>
        <v>3.333333333</v>
      </c>
      <c r="S56" s="1" t="str">
        <f t="shared" si="11"/>
        <v>#DIV/0!</v>
      </c>
      <c r="T56" s="1">
        <f t="shared" si="11"/>
        <v>9.25</v>
      </c>
      <c r="U56" s="1">
        <f t="shared" si="11"/>
        <v>1.071428571</v>
      </c>
      <c r="V56" s="1">
        <f t="shared" si="11"/>
        <v>3.333333333</v>
      </c>
      <c r="W56" s="1" t="str">
        <f t="shared" si="11"/>
        <v>#DIV/0!</v>
      </c>
      <c r="X56" s="1">
        <f t="shared" si="11"/>
        <v>3.272727273</v>
      </c>
      <c r="Y56" s="1" t="str">
        <f t="shared" si="11"/>
        <v>#DIV/0!</v>
      </c>
      <c r="Z56" s="1">
        <f t="shared" si="11"/>
        <v>3.142857143</v>
      </c>
      <c r="AA56" s="1">
        <f t="shared" si="11"/>
        <v>1.222222222</v>
      </c>
      <c r="AB56" s="1">
        <f t="shared" si="11"/>
        <v>1.5</v>
      </c>
      <c r="AC56" s="1">
        <f t="shared" si="11"/>
        <v>1.428571429</v>
      </c>
      <c r="AD56" s="1">
        <f t="shared" si="11"/>
        <v>4.272727273</v>
      </c>
      <c r="AE56" s="1">
        <f t="shared" si="11"/>
        <v>0.7407407407</v>
      </c>
      <c r="AF56" s="1">
        <f t="shared" si="11"/>
        <v>3.4</v>
      </c>
      <c r="AG56" s="1">
        <f t="shared" si="11"/>
        <v>2.166666667</v>
      </c>
      <c r="AH56" s="1">
        <f t="shared" si="11"/>
        <v>5</v>
      </c>
      <c r="AI56" s="1">
        <f t="shared" si="11"/>
        <v>3.384615385</v>
      </c>
      <c r="AJ56" s="1">
        <f t="shared" si="11"/>
        <v>1.7</v>
      </c>
      <c r="AK56" s="1">
        <f t="shared" si="11"/>
        <v>3.857142857</v>
      </c>
      <c r="AL56" s="1">
        <f t="shared" si="11"/>
        <v>2.266666667</v>
      </c>
      <c r="AM56" s="1">
        <f t="shared" si="11"/>
        <v>26</v>
      </c>
      <c r="AN56" s="1">
        <f t="shared" si="11"/>
        <v>3.285714286</v>
      </c>
      <c r="AO56" s="1">
        <f t="shared" si="11"/>
        <v>2.142857143</v>
      </c>
      <c r="AP56" s="1">
        <f t="shared" si="11"/>
        <v>3.571428571</v>
      </c>
      <c r="AQ56" s="1">
        <f t="shared" si="11"/>
        <v>1.428571429</v>
      </c>
      <c r="AR56" s="1">
        <f t="shared" si="11"/>
        <v>4.222222222</v>
      </c>
      <c r="AS56" s="1">
        <f t="shared" si="11"/>
        <v>3.777777778</v>
      </c>
      <c r="AT56" s="1">
        <f t="shared" si="11"/>
        <v>2.1</v>
      </c>
      <c r="AU56" s="1">
        <f t="shared" si="11"/>
        <v>2.166666667</v>
      </c>
      <c r="AV56" s="1">
        <f t="shared" si="11"/>
        <v>4</v>
      </c>
      <c r="AW56" s="1">
        <f t="shared" si="11"/>
        <v>1.12</v>
      </c>
      <c r="AX56" s="1" t="str">
        <f t="shared" si="11"/>
        <v>#DIV/0!</v>
      </c>
      <c r="AY56" s="1">
        <f t="shared" si="11"/>
        <v>2.933333333</v>
      </c>
      <c r="AZ56" s="1">
        <f t="shared" si="11"/>
        <v>0.6041666667</v>
      </c>
      <c r="BA56" s="1">
        <f t="shared" si="11"/>
        <v>2.8</v>
      </c>
      <c r="BB56" s="1">
        <f t="shared" si="11"/>
        <v>5</v>
      </c>
      <c r="BC56" s="1">
        <f t="shared" si="11"/>
        <v>3.181818182</v>
      </c>
      <c r="BD56" s="1">
        <f t="shared" si="11"/>
        <v>2.333333333</v>
      </c>
      <c r="BE56" s="1">
        <f t="shared" si="11"/>
        <v>2</v>
      </c>
      <c r="BF56" s="1">
        <f t="shared" si="11"/>
        <v>3.1</v>
      </c>
      <c r="BG56" s="1">
        <f t="shared" si="11"/>
        <v>2.15</v>
      </c>
      <c r="BH56" s="1">
        <f t="shared" si="11"/>
        <v>2.7</v>
      </c>
      <c r="BI56" s="1">
        <f t="shared" si="11"/>
        <v>2.0625</v>
      </c>
      <c r="BJ56" s="1">
        <f t="shared" si="11"/>
        <v>2.153846154</v>
      </c>
      <c r="BK56" s="1">
        <f t="shared" si="11"/>
        <v>1.5</v>
      </c>
      <c r="BL56" s="1">
        <f t="shared" si="11"/>
        <v>1.428571429</v>
      </c>
      <c r="BM56" s="1">
        <f t="shared" si="11"/>
        <v>0.7142857143</v>
      </c>
      <c r="BN56" s="1">
        <f t="shared" si="11"/>
        <v>4.75</v>
      </c>
      <c r="BO56" s="1">
        <f t="shared" si="11"/>
        <v>2.818181818</v>
      </c>
      <c r="BP56" s="1">
        <f t="shared" si="11"/>
        <v>0.7586206897</v>
      </c>
    </row>
    <row r="57" ht="15.75" customHeight="1">
      <c r="A57" s="2" t="s">
        <v>248</v>
      </c>
      <c r="B57" s="1">
        <f t="shared" ref="B57:M57" si="12">(B50*B52)/451</f>
        <v>0.7821138211</v>
      </c>
      <c r="C57" s="1">
        <f t="shared" si="12"/>
        <v>1.099778271</v>
      </c>
      <c r="D57" s="1">
        <f t="shared" si="12"/>
        <v>0</v>
      </c>
      <c r="E57" s="1">
        <f t="shared" si="12"/>
        <v>0</v>
      </c>
      <c r="F57" s="1">
        <f t="shared" si="12"/>
        <v>1.114560237</v>
      </c>
      <c r="G57" s="1">
        <f t="shared" si="12"/>
        <v>0.7716186253</v>
      </c>
      <c r="H57" s="1">
        <f t="shared" si="12"/>
        <v>1.219512195</v>
      </c>
      <c r="I57" s="1">
        <f t="shared" si="12"/>
        <v>1.129046563</v>
      </c>
      <c r="J57" s="1">
        <f t="shared" si="12"/>
        <v>0.818699187</v>
      </c>
      <c r="K57" s="1">
        <f t="shared" si="12"/>
        <v>0</v>
      </c>
      <c r="L57" s="1">
        <f t="shared" si="12"/>
        <v>0.806504065</v>
      </c>
      <c r="M57" s="1">
        <f t="shared" si="12"/>
        <v>0.8141906874</v>
      </c>
      <c r="N57" s="1"/>
      <c r="O57" s="1">
        <f t="shared" ref="O57:BP57" si="13">(O50*O52)/451</f>
        <v>1.083813747</v>
      </c>
      <c r="P57" s="1">
        <f t="shared" si="13"/>
        <v>1.510443459</v>
      </c>
      <c r="Q57" s="1">
        <f t="shared" si="13"/>
        <v>0.8167775314</v>
      </c>
      <c r="R57" s="1">
        <f t="shared" si="13"/>
        <v>1.158758315</v>
      </c>
      <c r="S57" s="1">
        <f t="shared" si="13"/>
        <v>0</v>
      </c>
      <c r="T57" s="1">
        <f t="shared" si="13"/>
        <v>0.8474501109</v>
      </c>
      <c r="U57" s="1">
        <f t="shared" si="13"/>
        <v>0.6636363636</v>
      </c>
      <c r="V57" s="1">
        <f t="shared" si="13"/>
        <v>1.13895048</v>
      </c>
      <c r="W57" s="1">
        <f t="shared" si="13"/>
        <v>0</v>
      </c>
      <c r="X57" s="1">
        <f t="shared" si="13"/>
        <v>0.8635624538</v>
      </c>
      <c r="Y57" s="1">
        <f t="shared" si="13"/>
        <v>0</v>
      </c>
      <c r="Z57" s="1">
        <f t="shared" si="13"/>
        <v>1.219955654</v>
      </c>
      <c r="AA57" s="1">
        <f t="shared" si="13"/>
        <v>0.9188470067</v>
      </c>
      <c r="AB57" s="1">
        <f t="shared" si="13"/>
        <v>0.6852919438</v>
      </c>
      <c r="AC57" s="1">
        <f t="shared" si="13"/>
        <v>0.8465631929</v>
      </c>
      <c r="AD57" s="1">
        <f t="shared" si="13"/>
        <v>0.6282335551</v>
      </c>
      <c r="AE57" s="1">
        <f t="shared" si="13"/>
        <v>0.7105691057</v>
      </c>
      <c r="AF57" s="1">
        <f t="shared" si="13"/>
        <v>1.096821877</v>
      </c>
      <c r="AG57" s="1">
        <f t="shared" si="13"/>
        <v>0.6514412417</v>
      </c>
      <c r="AH57" s="1">
        <f t="shared" si="13"/>
        <v>1.148189209</v>
      </c>
      <c r="AI57" s="1">
        <f t="shared" si="13"/>
        <v>0.7103769401</v>
      </c>
      <c r="AJ57" s="1">
        <f t="shared" si="13"/>
        <v>0.718255728</v>
      </c>
      <c r="AK57" s="1">
        <f t="shared" si="13"/>
        <v>1.297560976</v>
      </c>
      <c r="AL57" s="1">
        <f t="shared" si="13"/>
        <v>0.6518847007</v>
      </c>
      <c r="AM57" s="1">
        <f t="shared" si="13"/>
        <v>1.38713969</v>
      </c>
      <c r="AN57" s="1">
        <f t="shared" si="13"/>
        <v>1.157427938</v>
      </c>
      <c r="AO57" s="1">
        <f t="shared" si="13"/>
        <v>1.312638581</v>
      </c>
      <c r="AP57" s="1">
        <f t="shared" si="13"/>
        <v>1.001773836</v>
      </c>
      <c r="AQ57" s="1">
        <f t="shared" si="13"/>
        <v>0.8195121951</v>
      </c>
      <c r="AR57" s="1">
        <f t="shared" si="13"/>
        <v>1.163710273</v>
      </c>
      <c r="AS57" s="1">
        <f t="shared" si="13"/>
        <v>0.9235772358</v>
      </c>
      <c r="AT57" s="1">
        <f t="shared" si="13"/>
        <v>0.6888396157</v>
      </c>
      <c r="AU57" s="1">
        <f t="shared" si="13"/>
        <v>1.000443459</v>
      </c>
      <c r="AV57" s="1">
        <f t="shared" si="13"/>
        <v>0.8365853659</v>
      </c>
      <c r="AW57" s="1">
        <f t="shared" si="13"/>
        <v>0.8301552106</v>
      </c>
      <c r="AX57" s="1">
        <f t="shared" si="13"/>
        <v>0</v>
      </c>
      <c r="AY57" s="1">
        <f t="shared" si="13"/>
        <v>1.124833703</v>
      </c>
      <c r="AZ57" s="1">
        <f t="shared" si="13"/>
        <v>1.132076866</v>
      </c>
      <c r="BA57" s="1">
        <f t="shared" si="13"/>
        <v>1.221286031</v>
      </c>
      <c r="BB57" s="1">
        <f t="shared" si="13"/>
        <v>0.5983739837</v>
      </c>
      <c r="BC57" s="1">
        <f t="shared" si="13"/>
        <v>1.34338507</v>
      </c>
      <c r="BD57" s="1">
        <f t="shared" si="13"/>
        <v>1.410199557</v>
      </c>
      <c r="BE57" s="1">
        <f t="shared" si="13"/>
        <v>0.9458980044</v>
      </c>
      <c r="BF57" s="1">
        <f t="shared" si="13"/>
        <v>1.314412417</v>
      </c>
      <c r="BG57" s="1">
        <f t="shared" si="13"/>
        <v>0.4706577975</v>
      </c>
      <c r="BH57" s="1">
        <f t="shared" si="13"/>
        <v>1.346341463</v>
      </c>
      <c r="BI57" s="1">
        <f t="shared" si="13"/>
        <v>1.210643016</v>
      </c>
      <c r="BJ57" s="1">
        <f t="shared" si="13"/>
        <v>0.7003695492</v>
      </c>
      <c r="BK57" s="1">
        <f t="shared" si="13"/>
        <v>0.6438285292</v>
      </c>
      <c r="BL57" s="1">
        <f t="shared" si="13"/>
        <v>0.7150776053</v>
      </c>
      <c r="BM57" s="1">
        <f t="shared" si="13"/>
        <v>0.9087952698</v>
      </c>
      <c r="BN57" s="1">
        <f t="shared" si="13"/>
        <v>1.637250554</v>
      </c>
      <c r="BO57" s="1">
        <f t="shared" si="13"/>
        <v>0.9738359202</v>
      </c>
      <c r="BP57" s="1">
        <f t="shared" si="13"/>
        <v>0.9858093126</v>
      </c>
    </row>
    <row r="58" ht="15.75" customHeight="1">
      <c r="A58" s="3" t="s">
        <v>249</v>
      </c>
      <c r="B58" s="1">
        <f t="shared" ref="B58:M58" si="14">(B45*B52)/451</f>
        <v>0.3035476718</v>
      </c>
      <c r="C58" s="1">
        <f t="shared" si="14"/>
        <v>0.5853658537</v>
      </c>
      <c r="D58" s="1">
        <f t="shared" si="14"/>
        <v>0</v>
      </c>
      <c r="E58" s="1">
        <f t="shared" si="14"/>
        <v>0</v>
      </c>
      <c r="F58" s="1">
        <f t="shared" si="14"/>
        <v>0.2700665188</v>
      </c>
      <c r="G58" s="1">
        <f t="shared" si="14"/>
        <v>0.3592017738</v>
      </c>
      <c r="H58" s="1">
        <f t="shared" si="14"/>
        <v>0.4523281596</v>
      </c>
      <c r="I58" s="1">
        <f t="shared" si="14"/>
        <v>0.366518847</v>
      </c>
      <c r="J58" s="1">
        <f t="shared" si="14"/>
        <v>0.3760532151</v>
      </c>
      <c r="K58" s="1">
        <f t="shared" si="14"/>
        <v>0</v>
      </c>
      <c r="L58" s="1">
        <f t="shared" si="14"/>
        <v>0.2731707317</v>
      </c>
      <c r="M58" s="1">
        <f t="shared" si="14"/>
        <v>0.1809312639</v>
      </c>
      <c r="N58" s="1"/>
      <c r="O58" s="1">
        <f t="shared" ref="O58:BP58" si="15">(O45*O52)/451</f>
        <v>0.4381374723</v>
      </c>
      <c r="P58" s="1">
        <f t="shared" si="15"/>
        <v>0.6250110865</v>
      </c>
      <c r="Q58" s="1">
        <f t="shared" si="15"/>
        <v>0.2955654102</v>
      </c>
      <c r="R58" s="1">
        <f t="shared" si="15"/>
        <v>0.2079822616</v>
      </c>
      <c r="S58" s="1">
        <f t="shared" si="15"/>
        <v>0</v>
      </c>
      <c r="T58" s="1">
        <f t="shared" si="15"/>
        <v>0.321286031</v>
      </c>
      <c r="U58" s="1">
        <f t="shared" si="15"/>
        <v>0.2090909091</v>
      </c>
      <c r="V58" s="1">
        <f t="shared" si="15"/>
        <v>0.3119733925</v>
      </c>
      <c r="W58" s="1">
        <f t="shared" si="15"/>
        <v>0</v>
      </c>
      <c r="X58" s="1">
        <f t="shared" si="15"/>
        <v>0.3059866962</v>
      </c>
      <c r="Y58" s="1">
        <f t="shared" si="15"/>
        <v>0</v>
      </c>
      <c r="Z58" s="1">
        <f t="shared" si="15"/>
        <v>0.4889135255</v>
      </c>
      <c r="AA58" s="1">
        <f t="shared" si="15"/>
        <v>0.3352549889</v>
      </c>
      <c r="AB58" s="1">
        <f t="shared" si="15"/>
        <v>0.2190687361</v>
      </c>
      <c r="AC58" s="1">
        <f t="shared" si="15"/>
        <v>0.2345898004</v>
      </c>
      <c r="AD58" s="1">
        <f t="shared" si="15"/>
        <v>0.465631929</v>
      </c>
      <c r="AE58" s="1">
        <f t="shared" si="15"/>
        <v>0.3707317073</v>
      </c>
      <c r="AF58" s="1">
        <f t="shared" si="15"/>
        <v>0.4594235033</v>
      </c>
      <c r="AG58" s="1">
        <f t="shared" si="15"/>
        <v>0.2507760532</v>
      </c>
      <c r="AH58" s="1">
        <f t="shared" si="15"/>
        <v>0.3170731707</v>
      </c>
      <c r="AI58" s="1">
        <f t="shared" si="15"/>
        <v>0.325232816</v>
      </c>
      <c r="AJ58" s="1">
        <f t="shared" si="15"/>
        <v>0.2860310421</v>
      </c>
      <c r="AK58" s="1">
        <f t="shared" si="15"/>
        <v>0.7414634146</v>
      </c>
      <c r="AL58" s="1">
        <f t="shared" si="15"/>
        <v>0.3272727273</v>
      </c>
      <c r="AM58" s="1">
        <f t="shared" si="15"/>
        <v>0.566075388</v>
      </c>
      <c r="AN58" s="1">
        <f t="shared" si="15"/>
        <v>0.4257206208</v>
      </c>
      <c r="AO58" s="1">
        <f t="shared" si="15"/>
        <v>0.5086474501</v>
      </c>
      <c r="AP58" s="1">
        <f t="shared" si="15"/>
        <v>0.3472283814</v>
      </c>
      <c r="AQ58" s="1">
        <f t="shared" si="15"/>
        <v>0.4363636364</v>
      </c>
      <c r="AR58" s="1">
        <f t="shared" si="15"/>
        <v>0.5348115299</v>
      </c>
      <c r="AS58" s="1">
        <f t="shared" si="15"/>
        <v>0.3609756098</v>
      </c>
      <c r="AT58" s="1">
        <f t="shared" si="15"/>
        <v>0.2128603104</v>
      </c>
      <c r="AU58" s="1">
        <f t="shared" si="15"/>
        <v>0.3405764967</v>
      </c>
      <c r="AV58" s="1">
        <f t="shared" si="15"/>
        <v>0.4454545455</v>
      </c>
      <c r="AW58" s="1">
        <f t="shared" si="15"/>
        <v>0.5303769401</v>
      </c>
      <c r="AX58" s="1">
        <f t="shared" si="15"/>
        <v>0</v>
      </c>
      <c r="AY58" s="1">
        <f t="shared" si="15"/>
        <v>0.54345898</v>
      </c>
      <c r="AZ58" s="1">
        <f t="shared" si="15"/>
        <v>0.5170731707</v>
      </c>
      <c r="BA58" s="1">
        <f t="shared" si="15"/>
        <v>0.3352549889</v>
      </c>
      <c r="BB58" s="1">
        <f t="shared" si="15"/>
        <v>0.2146341463</v>
      </c>
      <c r="BC58" s="1">
        <f t="shared" si="15"/>
        <v>0.4093126386</v>
      </c>
      <c r="BD58" s="1">
        <f t="shared" si="15"/>
        <v>0.622616408</v>
      </c>
      <c r="BE58" s="1">
        <f t="shared" si="15"/>
        <v>0.3232815965</v>
      </c>
      <c r="BF58" s="1">
        <f t="shared" si="15"/>
        <v>0.4470066519</v>
      </c>
      <c r="BG58" s="1">
        <f t="shared" si="15"/>
        <v>0.2625277162</v>
      </c>
      <c r="BH58" s="1">
        <f t="shared" si="15"/>
        <v>0.4150776053</v>
      </c>
      <c r="BI58" s="1">
        <f t="shared" si="15"/>
        <v>0.6651884701</v>
      </c>
      <c r="BJ58" s="1">
        <f t="shared" si="15"/>
        <v>0.3365853659</v>
      </c>
      <c r="BK58" s="1">
        <f t="shared" si="15"/>
        <v>0.2405764967</v>
      </c>
      <c r="BL58" s="1">
        <f t="shared" si="15"/>
        <v>0.2095343681</v>
      </c>
      <c r="BM58" s="1">
        <f t="shared" si="15"/>
        <v>0.2829268293</v>
      </c>
      <c r="BN58" s="1">
        <f t="shared" si="15"/>
        <v>0.3286031042</v>
      </c>
      <c r="BO58" s="1">
        <f t="shared" si="15"/>
        <v>0.4733924612</v>
      </c>
      <c r="BP58" s="1">
        <f t="shared" si="15"/>
        <v>0.5055432373</v>
      </c>
    </row>
    <row r="59" ht="15.75" customHeight="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row>
    <row r="60" ht="15.75" customHeight="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row>
    <row r="61" ht="15.75" customHeight="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row>
    <row r="62" ht="15.75" customHeight="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row>
    <row r="63" ht="15.75" customHeight="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row>
    <row r="64" ht="15.75" customHeight="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row>
    <row r="65" ht="15.75" customHeight="1">
      <c r="A65" s="4" t="s">
        <v>263</v>
      </c>
      <c r="B65" s="1"/>
      <c r="C65" s="5" t="s">
        <v>264</v>
      </c>
      <c r="D65" s="1"/>
      <c r="E65" s="1"/>
      <c r="F65" s="1"/>
      <c r="G65" s="1"/>
      <c r="H65" s="1"/>
      <c r="I65" s="1"/>
      <c r="J65" s="1"/>
      <c r="K65" s="1"/>
      <c r="L65" s="1"/>
      <c r="M65" s="1"/>
      <c r="N65" s="1"/>
      <c r="O65" s="1"/>
      <c r="P65" s="1"/>
      <c r="Q65" s="1"/>
      <c r="R65" s="5" t="s">
        <v>265</v>
      </c>
      <c r="S65" s="1"/>
      <c r="T65" s="1"/>
      <c r="U65" s="1"/>
      <c r="V65" s="1"/>
      <c r="W65" s="1" t="s">
        <v>266</v>
      </c>
      <c r="X65" s="1"/>
      <c r="Y65" s="1"/>
      <c r="Z65" s="1" t="s">
        <v>267</v>
      </c>
      <c r="AA65" s="1"/>
      <c r="AB65" s="1"/>
      <c r="AC65" s="1"/>
      <c r="AD65" s="1"/>
      <c r="AE65" s="1"/>
      <c r="AF65" s="1"/>
      <c r="AG65" s="1"/>
      <c r="AH65" s="1"/>
      <c r="AI65" s="1"/>
      <c r="AJ65" s="5" t="s">
        <v>268</v>
      </c>
      <c r="AK65" s="5" t="s">
        <v>269</v>
      </c>
      <c r="AL65" s="1" t="s">
        <v>270</v>
      </c>
      <c r="AM65" s="1"/>
      <c r="AN65" s="1"/>
      <c r="AO65" s="5" t="s">
        <v>271</v>
      </c>
      <c r="AP65" s="1"/>
      <c r="AQ65" s="5" t="s">
        <v>272</v>
      </c>
      <c r="AR65" s="1"/>
      <c r="AS65" s="1"/>
      <c r="AT65" s="5" t="s">
        <v>273</v>
      </c>
      <c r="AU65" s="1"/>
      <c r="AV65" s="5" t="s">
        <v>274</v>
      </c>
      <c r="AW65" s="5" t="s">
        <v>275</v>
      </c>
      <c r="AX65" s="1"/>
      <c r="AY65" s="1"/>
      <c r="AZ65" s="1"/>
      <c r="BA65" s="1"/>
      <c r="BB65" s="1"/>
      <c r="BD65" s="2" t="s">
        <v>276</v>
      </c>
      <c r="BE65" s="2" t="s">
        <v>276</v>
      </c>
      <c r="BF65" s="2" t="s">
        <v>277</v>
      </c>
      <c r="BG65" s="2" t="s">
        <v>278</v>
      </c>
      <c r="BH65" s="2" t="s">
        <v>278</v>
      </c>
      <c r="BI65" s="13">
        <v>0.25</v>
      </c>
      <c r="BJ65" s="13">
        <v>0.19</v>
      </c>
      <c r="BK65" s="13">
        <v>0.13</v>
      </c>
      <c r="BL65" s="2" t="s">
        <v>276</v>
      </c>
      <c r="BM65" s="2" t="s">
        <v>279</v>
      </c>
      <c r="BN65" s="2" t="s">
        <v>276</v>
      </c>
      <c r="BO65" s="13">
        <v>0.19</v>
      </c>
      <c r="BP65" s="2" t="s">
        <v>280</v>
      </c>
    </row>
    <row r="66" ht="15.75" customHeight="1">
      <c r="A66" s="11" t="s">
        <v>281</v>
      </c>
      <c r="B66" s="1">
        <v>12.0</v>
      </c>
      <c r="C66" s="1">
        <v>13.0</v>
      </c>
      <c r="D66" s="1"/>
      <c r="E66" s="1">
        <v>17.0</v>
      </c>
      <c r="F66" s="1">
        <v>22.0</v>
      </c>
      <c r="G66" s="1">
        <v>21.0</v>
      </c>
      <c r="H66" s="1">
        <v>20.0</v>
      </c>
      <c r="I66" s="1">
        <v>108.0</v>
      </c>
      <c r="J66" s="1">
        <v>18.0</v>
      </c>
      <c r="K66" s="1">
        <v>2.0</v>
      </c>
      <c r="L66" s="1">
        <v>8.0</v>
      </c>
      <c r="M66" s="1">
        <v>1.0</v>
      </c>
      <c r="N66" s="1">
        <v>2.0</v>
      </c>
      <c r="O66" s="1">
        <v>4.0</v>
      </c>
      <c r="P66" s="1">
        <v>0.0</v>
      </c>
      <c r="Q66" s="1">
        <v>10.0</v>
      </c>
      <c r="R66" s="1">
        <v>2.0</v>
      </c>
      <c r="S66" s="1"/>
      <c r="T66" s="1">
        <v>24.0</v>
      </c>
      <c r="U66" s="1">
        <v>5.0</v>
      </c>
      <c r="V66" s="1">
        <v>9.0</v>
      </c>
      <c r="W66" s="1">
        <v>3.0</v>
      </c>
      <c r="X66" s="1">
        <v>2.0</v>
      </c>
      <c r="Y66" s="1">
        <v>5.0</v>
      </c>
      <c r="Z66" s="1">
        <v>2.0</v>
      </c>
      <c r="AA66" s="1">
        <v>6.0</v>
      </c>
      <c r="AB66" s="1">
        <v>6.0</v>
      </c>
      <c r="AC66" s="1">
        <v>10.0</v>
      </c>
      <c r="AD66" s="1">
        <v>0.0</v>
      </c>
      <c r="AE66" s="1">
        <v>13.0</v>
      </c>
      <c r="AF66" s="1">
        <v>2.0</v>
      </c>
      <c r="AG66" s="1">
        <v>1.0</v>
      </c>
      <c r="AH66" s="1">
        <v>0.0</v>
      </c>
      <c r="AI66" s="1">
        <v>20.0</v>
      </c>
      <c r="AJ66" s="1">
        <v>1.0</v>
      </c>
      <c r="AK66" s="1"/>
      <c r="AL66" s="1">
        <v>5.0</v>
      </c>
      <c r="AM66" s="1">
        <v>18.0</v>
      </c>
      <c r="AN66" s="1">
        <v>2.0</v>
      </c>
      <c r="AO66" s="1">
        <v>26.0</v>
      </c>
      <c r="AP66" s="1">
        <v>40.0</v>
      </c>
      <c r="AQ66" s="1">
        <v>3.0</v>
      </c>
      <c r="AR66" s="1">
        <v>10.0</v>
      </c>
      <c r="AS66" s="1">
        <v>150.0</v>
      </c>
      <c r="AT66" s="1">
        <v>23.0</v>
      </c>
      <c r="AU66" s="1">
        <v>1.0</v>
      </c>
      <c r="AV66" s="1">
        <v>5.0</v>
      </c>
      <c r="AW66" s="1">
        <v>3.0</v>
      </c>
      <c r="AX66" s="1">
        <v>24.0</v>
      </c>
      <c r="AY66" s="1">
        <v>4.0</v>
      </c>
      <c r="AZ66" s="1">
        <v>6.0</v>
      </c>
      <c r="BA66" s="1">
        <v>5.0</v>
      </c>
      <c r="BB66" s="1">
        <v>4.0</v>
      </c>
      <c r="BC66" s="2">
        <v>8.0</v>
      </c>
      <c r="BD66" s="2">
        <v>1.0</v>
      </c>
      <c r="BE66" s="2">
        <v>8.0</v>
      </c>
      <c r="BF66" s="2">
        <v>19.0</v>
      </c>
      <c r="BG66" s="2">
        <v>365.0</v>
      </c>
      <c r="BH66" s="2">
        <v>9.0</v>
      </c>
      <c r="BI66" s="2">
        <v>5.0</v>
      </c>
      <c r="BJ66" s="2">
        <v>7.0</v>
      </c>
      <c r="BK66" s="2">
        <v>8.0</v>
      </c>
      <c r="BL66" s="2">
        <v>15.0</v>
      </c>
      <c r="BM66" s="2">
        <v>16.0</v>
      </c>
      <c r="BN66" s="2">
        <v>21.0</v>
      </c>
      <c r="BO66" s="2">
        <v>10.0</v>
      </c>
      <c r="BP66" s="2">
        <v>6.0</v>
      </c>
    </row>
    <row r="67" ht="15.75" customHeight="1">
      <c r="A67" s="11" t="s">
        <v>282</v>
      </c>
      <c r="B67" s="1">
        <v>5.99</v>
      </c>
      <c r="C67" s="1">
        <v>4.83</v>
      </c>
      <c r="D67" s="1"/>
      <c r="E67" s="1">
        <v>4.95</v>
      </c>
      <c r="F67" s="1">
        <v>4.32</v>
      </c>
      <c r="G67" s="2">
        <v>3.93</v>
      </c>
      <c r="H67" s="1">
        <v>6.2</v>
      </c>
      <c r="I67" s="1">
        <v>4.19</v>
      </c>
      <c r="J67" s="1">
        <v>5.4</v>
      </c>
      <c r="K67" s="1">
        <v>3.7</v>
      </c>
      <c r="L67" s="1" t="s">
        <v>232</v>
      </c>
      <c r="M67" s="1">
        <v>3.99</v>
      </c>
      <c r="N67" s="1">
        <v>4.18</v>
      </c>
      <c r="O67" s="1">
        <v>4.65</v>
      </c>
      <c r="P67" s="1" t="s">
        <v>232</v>
      </c>
      <c r="Q67" s="1">
        <v>5.73</v>
      </c>
      <c r="R67" s="1" t="s">
        <v>232</v>
      </c>
      <c r="S67" s="1"/>
      <c r="T67" s="1">
        <v>4.77</v>
      </c>
      <c r="U67" s="1"/>
      <c r="V67" s="1">
        <v>6.49</v>
      </c>
      <c r="W67" s="1" t="s">
        <v>232</v>
      </c>
      <c r="X67" s="1" t="s">
        <v>232</v>
      </c>
      <c r="Y67" s="1" t="s">
        <v>232</v>
      </c>
      <c r="Z67" s="1" t="s">
        <v>232</v>
      </c>
      <c r="AA67" s="1">
        <v>5.67</v>
      </c>
      <c r="AB67" s="1" t="s">
        <v>232</v>
      </c>
      <c r="AC67" s="1" t="s">
        <v>232</v>
      </c>
      <c r="AD67" s="1">
        <v>4.6</v>
      </c>
      <c r="AE67" s="1" t="s">
        <v>232</v>
      </c>
      <c r="AF67" s="1">
        <v>5.1</v>
      </c>
      <c r="AG67" s="1">
        <v>2.58</v>
      </c>
      <c r="AH67" s="1" t="s">
        <v>262</v>
      </c>
      <c r="AI67" s="1" t="s">
        <v>232</v>
      </c>
      <c r="AJ67" s="1" t="s">
        <v>283</v>
      </c>
      <c r="AK67" s="1"/>
      <c r="AL67" s="2">
        <v>5.22</v>
      </c>
      <c r="AM67" s="1"/>
      <c r="AN67" s="1">
        <v>5.04</v>
      </c>
      <c r="AO67" s="1">
        <v>4.89</v>
      </c>
      <c r="AP67" s="1" t="s">
        <v>232</v>
      </c>
      <c r="AQ67" s="1">
        <v>5.18</v>
      </c>
      <c r="AR67" s="1" t="s">
        <v>232</v>
      </c>
      <c r="AS67" s="1">
        <v>3.02</v>
      </c>
      <c r="AT67" s="1" t="s">
        <v>232</v>
      </c>
      <c r="AU67" s="1" t="s">
        <v>232</v>
      </c>
      <c r="AV67" s="1">
        <v>4.39</v>
      </c>
      <c r="AW67" s="1">
        <v>5.37</v>
      </c>
      <c r="AX67" s="1">
        <v>4.41</v>
      </c>
      <c r="AY67" s="1">
        <v>4.2</v>
      </c>
      <c r="AZ67" s="1">
        <v>5.2</v>
      </c>
      <c r="BA67" s="1">
        <v>3.27</v>
      </c>
      <c r="BB67" s="2" t="s">
        <v>232</v>
      </c>
      <c r="BC67" s="2">
        <v>3.4</v>
      </c>
      <c r="BD67" s="2" t="s">
        <v>232</v>
      </c>
      <c r="BE67" s="2">
        <v>3.4</v>
      </c>
      <c r="BF67" s="2">
        <v>6.4</v>
      </c>
      <c r="BG67" s="2">
        <v>4.5</v>
      </c>
      <c r="BH67" s="2">
        <v>5.3</v>
      </c>
      <c r="BI67" s="2" t="s">
        <v>232</v>
      </c>
      <c r="BJ67" s="2">
        <v>4.8</v>
      </c>
      <c r="BK67" s="2">
        <v>4.6</v>
      </c>
      <c r="BL67" s="2">
        <v>5.6</v>
      </c>
      <c r="BM67" s="2">
        <v>3.4</v>
      </c>
      <c r="BN67" s="2">
        <v>3.5</v>
      </c>
      <c r="BO67" s="2" t="s">
        <v>232</v>
      </c>
      <c r="BP67" s="2" t="s">
        <v>232</v>
      </c>
    </row>
    <row r="68" ht="15.75" customHeight="1">
      <c r="A68" s="11" t="s">
        <v>284</v>
      </c>
      <c r="B68" s="1">
        <v>1.2</v>
      </c>
      <c r="C68" s="1" t="s">
        <v>232</v>
      </c>
      <c r="D68" s="1"/>
      <c r="E68" s="1">
        <v>1.8</v>
      </c>
      <c r="F68" s="1">
        <v>1.1</v>
      </c>
      <c r="G68" s="1">
        <v>1.84</v>
      </c>
      <c r="H68" s="1">
        <v>1.1</v>
      </c>
      <c r="I68" s="1">
        <v>1.03</v>
      </c>
      <c r="J68" s="1" t="s">
        <v>232</v>
      </c>
      <c r="K68" s="1" t="s">
        <v>232</v>
      </c>
      <c r="L68" s="1">
        <v>1.1</v>
      </c>
      <c r="M68" s="1" t="s">
        <v>232</v>
      </c>
      <c r="N68" s="1">
        <v>1.48</v>
      </c>
      <c r="O68" s="1">
        <v>1.4</v>
      </c>
      <c r="P68" s="1" t="s">
        <v>232</v>
      </c>
      <c r="Q68" s="1">
        <v>2.0</v>
      </c>
      <c r="R68" s="1" t="s">
        <v>232</v>
      </c>
      <c r="S68" s="1"/>
      <c r="T68" s="1">
        <v>2.1</v>
      </c>
      <c r="U68" s="1">
        <v>1.5</v>
      </c>
      <c r="V68" s="1">
        <v>2.17</v>
      </c>
      <c r="W68" s="1">
        <v>2.06</v>
      </c>
      <c r="X68" s="1">
        <v>1.67</v>
      </c>
      <c r="Y68" s="1"/>
      <c r="Z68" s="1">
        <v>0.87</v>
      </c>
      <c r="AA68" s="1">
        <v>2.8</v>
      </c>
      <c r="AB68" s="1"/>
      <c r="AC68" s="1" t="s">
        <v>232</v>
      </c>
      <c r="AD68" s="1" t="s">
        <v>232</v>
      </c>
      <c r="AE68" s="1">
        <v>1.2</v>
      </c>
      <c r="AF68" s="1">
        <v>1.3</v>
      </c>
      <c r="AG68" s="1" t="s">
        <v>232</v>
      </c>
      <c r="AH68" s="1" t="s">
        <v>262</v>
      </c>
      <c r="AI68" s="1" t="s">
        <v>232</v>
      </c>
      <c r="AJ68" s="1" t="s">
        <v>283</v>
      </c>
      <c r="AK68" s="1"/>
      <c r="AL68" s="1" t="s">
        <v>232</v>
      </c>
      <c r="AM68" s="1" t="s">
        <v>232</v>
      </c>
      <c r="AN68" s="1" t="s">
        <v>232</v>
      </c>
      <c r="AO68" s="1">
        <v>2.1</v>
      </c>
      <c r="AP68" s="1" t="s">
        <v>232</v>
      </c>
      <c r="AQ68" s="14">
        <v>1.7</v>
      </c>
      <c r="AR68" s="1">
        <v>1.7</v>
      </c>
      <c r="AS68" s="1">
        <v>1.1</v>
      </c>
      <c r="AT68" s="1" t="s">
        <v>232</v>
      </c>
      <c r="AU68" s="1">
        <v>2.4</v>
      </c>
      <c r="AV68" s="1">
        <v>1.2</v>
      </c>
      <c r="AW68" s="1">
        <v>1.1</v>
      </c>
      <c r="AX68" s="1" t="s">
        <v>232</v>
      </c>
      <c r="AY68" s="1">
        <v>2.0</v>
      </c>
      <c r="AZ68" s="1">
        <v>2.1</v>
      </c>
      <c r="BA68" s="1" t="s">
        <v>232</v>
      </c>
      <c r="BB68" s="1">
        <v>1.3</v>
      </c>
      <c r="BC68" s="2">
        <v>1.3</v>
      </c>
      <c r="BD68" s="2" t="s">
        <v>232</v>
      </c>
      <c r="BE68" s="2">
        <v>1.3</v>
      </c>
      <c r="BF68" s="2">
        <v>1.3</v>
      </c>
      <c r="BG68" s="2">
        <v>1.2</v>
      </c>
      <c r="BH68" s="2">
        <v>1.0</v>
      </c>
      <c r="BI68" s="2" t="s">
        <v>232</v>
      </c>
      <c r="BJ68" s="2">
        <v>1.1</v>
      </c>
      <c r="BK68" s="2">
        <v>0.9</v>
      </c>
      <c r="BL68" s="2">
        <v>0.9</v>
      </c>
      <c r="BM68" s="2">
        <v>1.9</v>
      </c>
      <c r="BN68" s="2">
        <v>1.9</v>
      </c>
      <c r="BO68" s="2">
        <v>2.2</v>
      </c>
      <c r="BP68" s="2">
        <v>0.4</v>
      </c>
    </row>
    <row r="69" ht="15.75" customHeight="1">
      <c r="A69" s="11" t="s">
        <v>285</v>
      </c>
      <c r="B69" s="1" t="s">
        <v>232</v>
      </c>
      <c r="C69" s="1" t="s">
        <v>232</v>
      </c>
      <c r="D69" s="1"/>
      <c r="E69" s="1" t="s">
        <v>232</v>
      </c>
      <c r="F69" s="1"/>
      <c r="G69" s="1" t="s">
        <v>232</v>
      </c>
      <c r="H69" s="1" t="s">
        <v>232</v>
      </c>
      <c r="I69" s="1" t="s">
        <v>232</v>
      </c>
      <c r="J69" s="1" t="s">
        <v>232</v>
      </c>
      <c r="K69" s="1" t="s">
        <v>232</v>
      </c>
      <c r="L69" s="1" t="s">
        <v>232</v>
      </c>
      <c r="M69" s="1" t="s">
        <v>232</v>
      </c>
      <c r="N69" s="1" t="s">
        <v>232</v>
      </c>
      <c r="O69" s="1" t="s">
        <v>232</v>
      </c>
      <c r="P69" s="1" t="s">
        <v>232</v>
      </c>
      <c r="Q69" s="1" t="s">
        <v>232</v>
      </c>
      <c r="R69" s="1" t="s">
        <v>232</v>
      </c>
      <c r="S69" s="1"/>
      <c r="T69" s="1" t="s">
        <v>232</v>
      </c>
      <c r="U69" s="1" t="s">
        <v>232</v>
      </c>
      <c r="V69" s="1">
        <v>10.0</v>
      </c>
      <c r="W69" s="1" t="s">
        <v>232</v>
      </c>
      <c r="X69" s="1" t="s">
        <v>232</v>
      </c>
      <c r="Y69" s="1" t="s">
        <v>232</v>
      </c>
      <c r="Z69" s="1" t="s">
        <v>232</v>
      </c>
      <c r="AA69" s="1" t="s">
        <v>232</v>
      </c>
      <c r="AB69" s="1" t="s">
        <v>232</v>
      </c>
      <c r="AC69" s="1" t="s">
        <v>232</v>
      </c>
      <c r="AD69" s="1">
        <v>7.0</v>
      </c>
      <c r="AE69" s="1" t="s">
        <v>232</v>
      </c>
      <c r="AF69" s="1">
        <v>9.0</v>
      </c>
      <c r="AG69" s="1" t="s">
        <v>232</v>
      </c>
      <c r="AH69" s="1" t="s">
        <v>262</v>
      </c>
      <c r="AI69" s="1" t="s">
        <v>232</v>
      </c>
      <c r="AJ69" s="1" t="s">
        <v>283</v>
      </c>
      <c r="AK69" s="1"/>
      <c r="AL69" s="1">
        <v>10.0</v>
      </c>
      <c r="AM69" s="1" t="s">
        <v>232</v>
      </c>
      <c r="AN69" s="1" t="s">
        <v>232</v>
      </c>
      <c r="AO69" s="1">
        <v>14.0</v>
      </c>
      <c r="AP69" s="1" t="s">
        <v>232</v>
      </c>
      <c r="AQ69" s="1" t="s">
        <v>232</v>
      </c>
      <c r="AR69" s="1">
        <v>10.0</v>
      </c>
      <c r="AS69" s="1" t="s">
        <v>232</v>
      </c>
      <c r="AT69" s="1" t="s">
        <v>232</v>
      </c>
      <c r="AU69" s="1">
        <v>20.0</v>
      </c>
      <c r="AV69" s="1" t="s">
        <v>232</v>
      </c>
      <c r="AW69" s="1" t="s">
        <v>232</v>
      </c>
      <c r="AX69" s="1" t="s">
        <v>232</v>
      </c>
      <c r="AY69" s="1" t="s">
        <v>232</v>
      </c>
      <c r="AZ69" s="1" t="s">
        <v>232</v>
      </c>
      <c r="BA69" s="1" t="s">
        <v>232</v>
      </c>
      <c r="BB69" s="2" t="s">
        <v>232</v>
      </c>
      <c r="BC69" s="2">
        <v>5.1</v>
      </c>
      <c r="BD69" s="2" t="s">
        <v>232</v>
      </c>
      <c r="BE69" s="2" t="s">
        <v>232</v>
      </c>
      <c r="BF69" s="2" t="s">
        <v>232</v>
      </c>
      <c r="BG69" s="2" t="s">
        <v>232</v>
      </c>
      <c r="BH69" s="2" t="s">
        <v>232</v>
      </c>
      <c r="BI69" s="2" t="s">
        <v>232</v>
      </c>
      <c r="BJ69" s="2" t="s">
        <v>232</v>
      </c>
      <c r="BK69" s="2" t="s">
        <v>232</v>
      </c>
      <c r="BL69" s="2" t="s">
        <v>232</v>
      </c>
      <c r="BM69" s="2" t="s">
        <v>232</v>
      </c>
      <c r="BN69" s="2" t="s">
        <v>232</v>
      </c>
      <c r="BO69" s="2" t="s">
        <v>232</v>
      </c>
      <c r="BP69" s="2" t="s">
        <v>232</v>
      </c>
    </row>
    <row r="70" ht="15.75" customHeight="1">
      <c r="A70" s="11" t="s">
        <v>286</v>
      </c>
      <c r="B70" s="1" t="s">
        <v>232</v>
      </c>
      <c r="C70" s="1" t="s">
        <v>232</v>
      </c>
      <c r="D70" s="1"/>
      <c r="E70" s="1" t="s">
        <v>232</v>
      </c>
      <c r="F70" s="1"/>
      <c r="G70" s="1" t="s">
        <v>232</v>
      </c>
      <c r="H70" s="1" t="s">
        <v>232</v>
      </c>
      <c r="I70" s="1" t="s">
        <v>232</v>
      </c>
      <c r="J70" s="1" t="s">
        <v>232</v>
      </c>
      <c r="K70" s="1" t="s">
        <v>232</v>
      </c>
      <c r="L70" s="1" t="s">
        <v>232</v>
      </c>
      <c r="M70" s="1" t="s">
        <v>232</v>
      </c>
      <c r="N70" s="1" t="s">
        <v>232</v>
      </c>
      <c r="O70" s="1" t="s">
        <v>232</v>
      </c>
      <c r="P70" s="1" t="s">
        <v>232</v>
      </c>
      <c r="Q70" s="1" t="s">
        <v>232</v>
      </c>
      <c r="R70" s="1" t="s">
        <v>232</v>
      </c>
      <c r="S70" s="1"/>
      <c r="T70" s="1" t="s">
        <v>232</v>
      </c>
      <c r="U70" s="1" t="s">
        <v>287</v>
      </c>
      <c r="V70" s="1" t="s">
        <v>232</v>
      </c>
      <c r="W70" s="1" t="s">
        <v>232</v>
      </c>
      <c r="X70" s="1" t="s">
        <v>232</v>
      </c>
      <c r="Y70" s="1" t="s">
        <v>232</v>
      </c>
      <c r="Z70" s="1" t="s">
        <v>232</v>
      </c>
      <c r="AA70" s="1" t="s">
        <v>232</v>
      </c>
      <c r="AB70" s="1" t="s">
        <v>232</v>
      </c>
      <c r="AC70" s="1" t="s">
        <v>232</v>
      </c>
      <c r="AD70" s="1" t="s">
        <v>232</v>
      </c>
      <c r="AE70" s="1" t="s">
        <v>232</v>
      </c>
      <c r="AF70" s="1">
        <v>5.0</v>
      </c>
      <c r="AG70" s="1" t="s">
        <v>232</v>
      </c>
      <c r="AH70" s="1" t="s">
        <v>262</v>
      </c>
      <c r="AI70" s="1" t="s">
        <v>232</v>
      </c>
      <c r="AJ70" s="1" t="s">
        <v>283</v>
      </c>
      <c r="AK70" s="1"/>
      <c r="AL70" s="1" t="s">
        <v>232</v>
      </c>
      <c r="AM70" s="1" t="s">
        <v>232</v>
      </c>
      <c r="AN70" s="1" t="s">
        <v>232</v>
      </c>
      <c r="AO70" s="1" t="s">
        <v>232</v>
      </c>
      <c r="AP70" s="1" t="s">
        <v>232</v>
      </c>
      <c r="AQ70" s="1" t="s">
        <v>232</v>
      </c>
      <c r="AR70" s="1" t="s">
        <v>232</v>
      </c>
      <c r="AS70" s="1" t="s">
        <v>232</v>
      </c>
      <c r="AT70" s="1" t="s">
        <v>232</v>
      </c>
      <c r="AU70" s="1" t="s">
        <v>232</v>
      </c>
      <c r="AV70" s="1" t="s">
        <v>232</v>
      </c>
      <c r="AW70" s="1" t="s">
        <v>232</v>
      </c>
      <c r="AX70" s="1" t="s">
        <v>232</v>
      </c>
      <c r="AY70" s="1" t="s">
        <v>232</v>
      </c>
      <c r="AZ70" s="1" t="s">
        <v>232</v>
      </c>
      <c r="BA70" s="1" t="s">
        <v>232</v>
      </c>
      <c r="BB70" s="2" t="s">
        <v>232</v>
      </c>
      <c r="BC70" s="2" t="s">
        <v>232</v>
      </c>
      <c r="BD70" s="2" t="s">
        <v>232</v>
      </c>
      <c r="BE70" s="2" t="s">
        <v>232</v>
      </c>
      <c r="BF70" s="2" t="s">
        <v>232</v>
      </c>
      <c r="BG70" s="2" t="s">
        <v>232</v>
      </c>
      <c r="BH70" s="2" t="s">
        <v>232</v>
      </c>
      <c r="BI70" s="2" t="s">
        <v>232</v>
      </c>
      <c r="BJ70" s="2" t="s">
        <v>232</v>
      </c>
      <c r="BK70" s="2" t="s">
        <v>232</v>
      </c>
      <c r="BL70" s="2" t="s">
        <v>232</v>
      </c>
      <c r="BM70" s="2" t="s">
        <v>232</v>
      </c>
      <c r="BN70" s="2" t="s">
        <v>232</v>
      </c>
      <c r="BO70" s="2" t="s">
        <v>232</v>
      </c>
      <c r="BP70" s="2" t="s">
        <v>232</v>
      </c>
    </row>
    <row r="71" ht="15.75" customHeight="1">
      <c r="A71" s="11" t="s">
        <v>288</v>
      </c>
      <c r="B71" s="1">
        <v>3.0</v>
      </c>
      <c r="C71" s="1">
        <v>2.0</v>
      </c>
      <c r="D71" s="1"/>
      <c r="E71" s="1">
        <v>3.0</v>
      </c>
      <c r="F71" s="1">
        <v>1.5</v>
      </c>
      <c r="G71" s="1">
        <v>3.0</v>
      </c>
      <c r="H71" s="1">
        <v>3.0</v>
      </c>
      <c r="I71" s="1">
        <v>1.0</v>
      </c>
      <c r="J71" s="1">
        <v>2.0</v>
      </c>
      <c r="K71" s="1">
        <v>1.0</v>
      </c>
      <c r="L71" s="1">
        <v>3.0</v>
      </c>
      <c r="M71" s="1">
        <v>1.0</v>
      </c>
      <c r="N71" s="1">
        <v>1.5</v>
      </c>
      <c r="O71" s="1">
        <v>2.0</v>
      </c>
      <c r="P71" s="1">
        <v>1.0</v>
      </c>
      <c r="Q71" s="1">
        <v>2.0</v>
      </c>
      <c r="R71" s="1"/>
      <c r="S71" s="1"/>
      <c r="T71" s="1">
        <v>3.0</v>
      </c>
      <c r="U71" s="1">
        <v>2.0</v>
      </c>
      <c r="V71" s="1">
        <v>3.0</v>
      </c>
      <c r="W71" s="1">
        <v>1.0</v>
      </c>
      <c r="X71" s="1">
        <v>3.0</v>
      </c>
      <c r="Y71" s="1">
        <v>2.0</v>
      </c>
      <c r="Z71" s="1">
        <v>2.0</v>
      </c>
      <c r="AA71" s="1">
        <v>1.0</v>
      </c>
      <c r="AB71" s="1">
        <v>2.0</v>
      </c>
      <c r="AC71" s="1">
        <v>1.0</v>
      </c>
      <c r="AD71" s="1">
        <v>1.0</v>
      </c>
      <c r="AE71" s="1">
        <v>2.0</v>
      </c>
      <c r="AF71" s="1">
        <v>1.0</v>
      </c>
      <c r="AG71" s="1">
        <v>1.0</v>
      </c>
      <c r="AH71" s="1">
        <v>2.0</v>
      </c>
      <c r="AI71" s="1">
        <v>1.0</v>
      </c>
      <c r="AJ71" s="1">
        <v>1.0</v>
      </c>
      <c r="AK71" s="1"/>
      <c r="AL71" s="1">
        <v>1.5</v>
      </c>
      <c r="AM71" s="1">
        <v>1.0</v>
      </c>
      <c r="AN71" s="1">
        <v>2.5</v>
      </c>
      <c r="AO71" s="1">
        <v>2.0</v>
      </c>
      <c r="AP71" s="1">
        <v>1.0</v>
      </c>
      <c r="AQ71" s="1">
        <v>2.0</v>
      </c>
      <c r="AR71" s="1">
        <v>1.0</v>
      </c>
      <c r="AS71" s="1">
        <v>1.0</v>
      </c>
      <c r="AT71" s="1">
        <v>2.0</v>
      </c>
      <c r="AU71" s="1">
        <v>1.0</v>
      </c>
      <c r="AV71" s="1">
        <v>1.0</v>
      </c>
      <c r="AW71" s="1">
        <v>2.5</v>
      </c>
      <c r="AX71" s="1">
        <v>1.0</v>
      </c>
      <c r="AY71" s="1">
        <v>2.0</v>
      </c>
      <c r="AZ71" s="1">
        <v>3.0</v>
      </c>
      <c r="BA71" s="1">
        <v>1.0</v>
      </c>
      <c r="BB71" s="1">
        <v>1.0</v>
      </c>
      <c r="BC71" s="2">
        <v>2.0</v>
      </c>
      <c r="BD71" s="2">
        <v>1.0</v>
      </c>
      <c r="BE71" s="2">
        <v>1.0</v>
      </c>
      <c r="BF71" s="2">
        <v>2.0</v>
      </c>
      <c r="BG71" s="2">
        <v>2.0</v>
      </c>
      <c r="BH71" s="2">
        <v>3.0</v>
      </c>
      <c r="BI71" s="2">
        <v>1.0</v>
      </c>
      <c r="BJ71" s="2">
        <v>2.0</v>
      </c>
      <c r="BK71" s="2">
        <v>2.0</v>
      </c>
      <c r="BL71" s="2">
        <v>3.0</v>
      </c>
      <c r="BM71" s="2">
        <v>1.0</v>
      </c>
      <c r="BN71" s="2">
        <v>2.0</v>
      </c>
      <c r="BO71" s="2">
        <v>2.0</v>
      </c>
      <c r="BP71" s="2">
        <v>1.0</v>
      </c>
    </row>
    <row r="72" ht="15.75" customHeight="1">
      <c r="A72" s="11" t="s">
        <v>234</v>
      </c>
      <c r="B72" s="1">
        <v>41.0</v>
      </c>
      <c r="C72" s="1">
        <v>40.0</v>
      </c>
      <c r="D72" s="1"/>
      <c r="E72" s="1">
        <v>52.5</v>
      </c>
      <c r="F72" s="1">
        <v>50.0</v>
      </c>
      <c r="G72" s="1">
        <v>43.0</v>
      </c>
      <c r="H72" s="1">
        <v>61.0</v>
      </c>
      <c r="I72" s="1" t="s">
        <v>232</v>
      </c>
      <c r="J72" s="1">
        <v>53.0</v>
      </c>
      <c r="K72" s="1" t="s">
        <v>232</v>
      </c>
      <c r="L72" s="1">
        <v>53.0</v>
      </c>
      <c r="M72" s="1">
        <v>38.0</v>
      </c>
      <c r="N72" s="1">
        <v>53.0</v>
      </c>
      <c r="O72" s="1">
        <v>76.0</v>
      </c>
      <c r="P72" s="1">
        <v>70.0</v>
      </c>
      <c r="Q72" s="1">
        <v>45.0</v>
      </c>
      <c r="R72" s="1" t="s">
        <v>232</v>
      </c>
      <c r="S72" s="1"/>
      <c r="T72" s="1">
        <v>50.0</v>
      </c>
      <c r="U72" s="1">
        <v>33.0</v>
      </c>
      <c r="V72" s="1">
        <v>34.0</v>
      </c>
      <c r="W72" s="1">
        <v>62.0</v>
      </c>
      <c r="X72" s="1">
        <v>36.0</v>
      </c>
      <c r="Y72" s="1">
        <v>56.0</v>
      </c>
      <c r="Z72" s="1">
        <v>42.5</v>
      </c>
      <c r="AA72" s="1" t="s">
        <v>232</v>
      </c>
      <c r="AB72" s="1">
        <v>48.0</v>
      </c>
      <c r="AC72" s="1">
        <v>48.0</v>
      </c>
      <c r="AD72" s="1">
        <v>40.0</v>
      </c>
      <c r="AE72" s="1" t="s">
        <v>232</v>
      </c>
      <c r="AF72" s="1">
        <v>29.0</v>
      </c>
      <c r="AG72" s="1" t="s">
        <v>232</v>
      </c>
      <c r="AH72" s="1">
        <v>44.0</v>
      </c>
      <c r="AI72" s="1">
        <v>19.0</v>
      </c>
      <c r="AJ72" s="1">
        <v>13.0</v>
      </c>
      <c r="AK72" s="1"/>
      <c r="AL72" s="1">
        <v>79.0</v>
      </c>
      <c r="AM72" s="1">
        <v>50.0</v>
      </c>
      <c r="AN72" s="1">
        <v>55.0</v>
      </c>
      <c r="AO72" s="1">
        <v>60.0</v>
      </c>
      <c r="AP72" s="1">
        <v>20.0</v>
      </c>
      <c r="AQ72" s="1">
        <v>47.0</v>
      </c>
      <c r="AR72" s="1" t="s">
        <v>232</v>
      </c>
      <c r="AS72" s="1" t="s">
        <v>232</v>
      </c>
      <c r="AT72" s="1">
        <v>46.0</v>
      </c>
      <c r="AU72" s="1" t="s">
        <v>232</v>
      </c>
      <c r="AV72" s="1" t="s">
        <v>232</v>
      </c>
      <c r="AW72" s="1">
        <v>51.0</v>
      </c>
      <c r="AX72" s="1">
        <v>65.0</v>
      </c>
      <c r="AY72" s="1">
        <v>52.0</v>
      </c>
      <c r="AZ72" s="1">
        <v>59.0</v>
      </c>
      <c r="BA72" s="1">
        <v>39.0</v>
      </c>
      <c r="BB72" s="1">
        <v>41.0</v>
      </c>
      <c r="BC72" s="2">
        <v>38.0</v>
      </c>
      <c r="BD72" s="2" t="s">
        <v>232</v>
      </c>
      <c r="BE72" s="2">
        <v>38.0</v>
      </c>
      <c r="BF72" s="2">
        <v>42.0</v>
      </c>
      <c r="BG72" s="2">
        <v>53.0</v>
      </c>
      <c r="BH72" s="2">
        <v>32.0</v>
      </c>
      <c r="BI72" s="2" t="s">
        <v>232</v>
      </c>
      <c r="BJ72" s="2">
        <v>55.0</v>
      </c>
      <c r="BK72" s="2">
        <v>39.0</v>
      </c>
      <c r="BL72" s="2">
        <v>48.0</v>
      </c>
      <c r="BM72" s="2">
        <v>21.0</v>
      </c>
      <c r="BN72" s="2">
        <v>29.0</v>
      </c>
      <c r="BO72" s="2">
        <v>59.0</v>
      </c>
      <c r="BP72" s="2" t="s">
        <v>232</v>
      </c>
    </row>
    <row r="73" ht="15.75" customHeight="1">
      <c r="A73" s="11" t="s">
        <v>289</v>
      </c>
      <c r="B73" s="1">
        <v>5.37</v>
      </c>
      <c r="C73" s="1">
        <v>7.56</v>
      </c>
      <c r="D73" s="1"/>
      <c r="E73" s="1">
        <v>6.46</v>
      </c>
      <c r="F73" s="1">
        <v>6.52</v>
      </c>
      <c r="G73" s="1">
        <v>5.71</v>
      </c>
      <c r="H73" s="1">
        <v>6.6</v>
      </c>
      <c r="I73" s="1">
        <v>7.15</v>
      </c>
      <c r="J73" s="1">
        <v>6.87</v>
      </c>
      <c r="K73" s="1">
        <v>6.89</v>
      </c>
      <c r="L73" s="1">
        <v>7.25</v>
      </c>
      <c r="M73" s="1">
        <v>5.64</v>
      </c>
      <c r="N73" s="1">
        <v>5.28</v>
      </c>
      <c r="O73" s="1">
        <v>5.7</v>
      </c>
      <c r="P73" s="1">
        <v>7.3</v>
      </c>
      <c r="Q73" s="1">
        <v>6.82</v>
      </c>
      <c r="R73" s="1">
        <v>6.87</v>
      </c>
      <c r="S73" s="1"/>
      <c r="T73" s="1">
        <v>6.45</v>
      </c>
      <c r="U73" s="1">
        <v>6.06</v>
      </c>
      <c r="V73" s="1">
        <v>5.53</v>
      </c>
      <c r="W73" s="1">
        <v>9.0</v>
      </c>
      <c r="X73" s="1">
        <v>7.6</v>
      </c>
      <c r="Y73" s="1">
        <v>7.94</v>
      </c>
      <c r="Z73" s="1">
        <v>6.7</v>
      </c>
      <c r="AA73" s="1">
        <v>7.09</v>
      </c>
      <c r="AB73" s="1">
        <v>6.1</v>
      </c>
      <c r="AC73" s="1">
        <v>5.1</v>
      </c>
      <c r="AD73" s="1">
        <v>6.3</v>
      </c>
      <c r="AE73" s="1">
        <v>6.1</v>
      </c>
      <c r="AF73" s="1">
        <v>6.7</v>
      </c>
      <c r="AG73" s="1">
        <v>4.56</v>
      </c>
      <c r="AH73" s="1">
        <v>6.0</v>
      </c>
      <c r="AI73" s="1" t="s">
        <v>232</v>
      </c>
      <c r="AJ73" s="1">
        <v>3.51</v>
      </c>
      <c r="AK73" s="1"/>
      <c r="AL73" s="1">
        <v>6.49</v>
      </c>
      <c r="AM73" s="1">
        <v>6.88</v>
      </c>
      <c r="AN73" s="1">
        <v>6.39</v>
      </c>
      <c r="AO73" s="1">
        <v>7.74</v>
      </c>
      <c r="AP73" s="1">
        <v>7.67</v>
      </c>
      <c r="AQ73" s="1">
        <v>6.79</v>
      </c>
      <c r="AR73" s="1">
        <v>6.73</v>
      </c>
      <c r="AS73" s="1">
        <v>6.01</v>
      </c>
      <c r="AT73" s="1">
        <v>5.1</v>
      </c>
      <c r="AU73" s="1">
        <v>5.5</v>
      </c>
      <c r="AV73" s="1">
        <v>5.75</v>
      </c>
      <c r="AW73" s="1">
        <v>5.75</v>
      </c>
      <c r="AX73" s="1">
        <v>6.67</v>
      </c>
      <c r="AY73" s="1">
        <v>5.9</v>
      </c>
      <c r="AZ73" s="1">
        <v>7.4</v>
      </c>
      <c r="BA73" s="1">
        <v>5.09</v>
      </c>
      <c r="BB73" s="1">
        <v>5.7</v>
      </c>
      <c r="BC73" s="2">
        <v>7.1</v>
      </c>
      <c r="BD73" s="2">
        <v>7.22</v>
      </c>
      <c r="BE73" s="2">
        <v>5.9</v>
      </c>
      <c r="BF73" s="2">
        <v>7.0</v>
      </c>
      <c r="BG73" s="2">
        <v>7.3</v>
      </c>
      <c r="BH73" s="2">
        <v>6.0</v>
      </c>
      <c r="BJ73" s="2">
        <v>6.4</v>
      </c>
      <c r="BK73" s="2">
        <v>7.6</v>
      </c>
      <c r="BL73" s="2">
        <v>6.9</v>
      </c>
      <c r="BM73" s="2">
        <v>5.1</v>
      </c>
      <c r="BN73" s="2">
        <v>7.1</v>
      </c>
      <c r="BO73" s="2">
        <v>8.6</v>
      </c>
      <c r="BP73" s="2">
        <v>7.2</v>
      </c>
    </row>
    <row r="74" ht="15.75" customHeight="1">
      <c r="A74" s="11" t="s">
        <v>290</v>
      </c>
      <c r="B74" s="1" t="s">
        <v>232</v>
      </c>
      <c r="C74" s="1">
        <v>0.0</v>
      </c>
      <c r="D74" s="1"/>
      <c r="E74" s="1">
        <v>0.0</v>
      </c>
      <c r="F74" s="1">
        <v>0.0</v>
      </c>
      <c r="G74" s="1">
        <v>0.0</v>
      </c>
      <c r="H74" s="1">
        <v>0.0</v>
      </c>
      <c r="I74" s="1">
        <v>0.0</v>
      </c>
      <c r="J74" s="1">
        <v>0.0</v>
      </c>
      <c r="K74" s="1">
        <v>0.0</v>
      </c>
      <c r="L74" s="1">
        <v>0.0</v>
      </c>
      <c r="M74" s="1">
        <v>0.0</v>
      </c>
      <c r="N74" s="1">
        <v>0.0</v>
      </c>
      <c r="O74" s="1">
        <v>0.0</v>
      </c>
      <c r="P74" s="1" t="s">
        <v>232</v>
      </c>
      <c r="Q74" s="1">
        <v>0.0</v>
      </c>
      <c r="R74" s="1">
        <v>0.0</v>
      </c>
      <c r="S74" s="1"/>
      <c r="T74" s="1">
        <v>1.0</v>
      </c>
      <c r="U74" s="1">
        <v>0.0</v>
      </c>
      <c r="V74" s="1">
        <v>0.0</v>
      </c>
      <c r="W74" s="1">
        <v>0.0</v>
      </c>
      <c r="X74" s="1">
        <v>0.0</v>
      </c>
      <c r="Y74" s="1" t="s">
        <v>232</v>
      </c>
      <c r="Z74" s="1" t="s">
        <v>232</v>
      </c>
      <c r="AA74" s="1">
        <v>0.0</v>
      </c>
      <c r="AB74" s="1" t="s">
        <v>232</v>
      </c>
      <c r="AC74" s="1">
        <v>1.0</v>
      </c>
      <c r="AD74" s="1">
        <v>0.0</v>
      </c>
      <c r="AE74" s="1" t="s">
        <v>232</v>
      </c>
      <c r="AF74" s="1">
        <v>0.0</v>
      </c>
      <c r="AG74" s="1">
        <v>0.0</v>
      </c>
      <c r="AH74" s="1">
        <v>1.0</v>
      </c>
      <c r="AI74" s="1" t="s">
        <v>232</v>
      </c>
      <c r="AJ74" s="1">
        <v>0.0</v>
      </c>
      <c r="AK74" s="1"/>
      <c r="AL74" s="1">
        <v>1.0</v>
      </c>
      <c r="AM74" s="1">
        <v>0.0</v>
      </c>
      <c r="AN74" s="1">
        <v>1.0</v>
      </c>
      <c r="AO74" s="1">
        <v>0.0</v>
      </c>
      <c r="AP74" s="1">
        <v>0.0</v>
      </c>
      <c r="AQ74" s="1">
        <v>0.0</v>
      </c>
      <c r="AR74" s="1">
        <v>0.0</v>
      </c>
      <c r="AS74" s="1">
        <v>0.0</v>
      </c>
      <c r="AT74" s="1">
        <v>0.0</v>
      </c>
      <c r="AU74" s="1">
        <v>0.0</v>
      </c>
      <c r="AV74" s="1">
        <v>0.0</v>
      </c>
      <c r="AW74" s="1">
        <v>0.0</v>
      </c>
      <c r="AX74" s="1">
        <v>0.0</v>
      </c>
      <c r="AY74" s="1">
        <v>0.0</v>
      </c>
      <c r="AZ74" s="1">
        <v>0.0</v>
      </c>
      <c r="BA74" s="1">
        <v>0.0</v>
      </c>
      <c r="BB74" s="1">
        <v>0.0</v>
      </c>
      <c r="BC74" s="2" t="s">
        <v>232</v>
      </c>
      <c r="BD74" s="2">
        <v>0.0</v>
      </c>
      <c r="BE74" s="2" t="s">
        <v>232</v>
      </c>
      <c r="BF74" s="2" t="s">
        <v>232</v>
      </c>
      <c r="BG74" s="2" t="s">
        <v>232</v>
      </c>
      <c r="BH74" s="2" t="s">
        <v>232</v>
      </c>
      <c r="BI74" s="2" t="s">
        <v>232</v>
      </c>
      <c r="BJ74" s="2" t="s">
        <v>232</v>
      </c>
      <c r="BK74" s="2" t="s">
        <v>232</v>
      </c>
      <c r="BL74" s="2" t="s">
        <v>232</v>
      </c>
      <c r="BM74" s="2" t="s">
        <v>232</v>
      </c>
      <c r="BN74" s="2" t="s">
        <v>232</v>
      </c>
      <c r="BO74" s="2" t="s">
        <v>232</v>
      </c>
      <c r="BP74" s="2" t="s">
        <v>232</v>
      </c>
    </row>
    <row r="75" ht="15.75" customHeight="1">
      <c r="A75" s="15" t="s">
        <v>291</v>
      </c>
      <c r="B75" s="1" t="s">
        <v>232</v>
      </c>
      <c r="C75" s="1">
        <v>0.0</v>
      </c>
      <c r="D75" s="1"/>
      <c r="E75" s="1">
        <v>0.0</v>
      </c>
      <c r="F75" s="1">
        <v>0.0</v>
      </c>
      <c r="G75" s="1">
        <v>0.0</v>
      </c>
      <c r="H75" s="1">
        <v>0.0</v>
      </c>
      <c r="I75" s="1">
        <v>0.0</v>
      </c>
      <c r="J75" s="1">
        <v>0.0</v>
      </c>
      <c r="K75" s="1">
        <v>0.0</v>
      </c>
      <c r="L75" s="1">
        <v>0.0</v>
      </c>
      <c r="M75" s="1">
        <v>0.0</v>
      </c>
      <c r="N75" s="1">
        <v>0.0</v>
      </c>
      <c r="O75" s="1">
        <v>0.0</v>
      </c>
      <c r="P75" s="1" t="s">
        <v>232</v>
      </c>
      <c r="Q75" s="1">
        <v>0.0</v>
      </c>
      <c r="R75" s="1">
        <v>0.0</v>
      </c>
      <c r="S75" s="1"/>
      <c r="T75" s="1">
        <v>0.0</v>
      </c>
      <c r="U75" s="1">
        <v>0.0</v>
      </c>
      <c r="V75" s="1">
        <v>0.0</v>
      </c>
      <c r="W75" s="1">
        <v>0.0</v>
      </c>
      <c r="X75" s="1">
        <v>0.0</v>
      </c>
      <c r="Y75" s="1" t="s">
        <v>232</v>
      </c>
      <c r="Z75" s="1" t="s">
        <v>232</v>
      </c>
      <c r="AA75" s="1">
        <v>0.0</v>
      </c>
      <c r="AB75" s="1" t="s">
        <v>232</v>
      </c>
      <c r="AC75" s="1">
        <v>0.0</v>
      </c>
      <c r="AD75" s="1">
        <v>0.0</v>
      </c>
      <c r="AE75" s="1" t="s">
        <v>232</v>
      </c>
      <c r="AF75" s="1">
        <v>0.0</v>
      </c>
      <c r="AG75" s="1">
        <v>0.0</v>
      </c>
      <c r="AH75" s="1">
        <v>0.0</v>
      </c>
      <c r="AI75" s="1">
        <v>0.0</v>
      </c>
      <c r="AJ75" s="1">
        <v>0.0</v>
      </c>
      <c r="AK75" s="1"/>
      <c r="AL75" s="1">
        <v>0.0</v>
      </c>
      <c r="AM75" s="1">
        <v>0.0</v>
      </c>
      <c r="AN75" s="1">
        <v>0.0</v>
      </c>
      <c r="AO75" s="1">
        <v>0.0</v>
      </c>
      <c r="AP75" s="1">
        <v>0.0</v>
      </c>
      <c r="AQ75" s="1">
        <v>0.0</v>
      </c>
      <c r="AR75" s="1">
        <v>0.0</v>
      </c>
      <c r="AS75" s="1">
        <v>0.0</v>
      </c>
      <c r="AT75" s="1">
        <v>0.0</v>
      </c>
      <c r="AU75" s="1">
        <v>0.0</v>
      </c>
      <c r="AV75" s="1">
        <v>0.0</v>
      </c>
      <c r="AW75" s="1">
        <v>0.0</v>
      </c>
      <c r="AX75" s="1">
        <v>0.0</v>
      </c>
      <c r="AY75" s="1">
        <v>0.0</v>
      </c>
      <c r="AZ75" s="1">
        <v>0.0</v>
      </c>
      <c r="BA75" s="1">
        <v>0.0</v>
      </c>
      <c r="BB75" s="1">
        <v>0.0</v>
      </c>
      <c r="BC75" s="2" t="s">
        <v>232</v>
      </c>
      <c r="BD75" s="2">
        <v>0.0</v>
      </c>
      <c r="BE75" s="2" t="s">
        <v>232</v>
      </c>
      <c r="BF75" s="2" t="s">
        <v>232</v>
      </c>
      <c r="BG75" s="2" t="s">
        <v>232</v>
      </c>
      <c r="BH75" s="2" t="s">
        <v>232</v>
      </c>
      <c r="BI75" s="2" t="s">
        <v>232</v>
      </c>
      <c r="BJ75" s="2" t="s">
        <v>232</v>
      </c>
      <c r="BK75" s="2" t="s">
        <v>232</v>
      </c>
      <c r="BL75" s="2" t="s">
        <v>232</v>
      </c>
      <c r="BM75" s="2" t="s">
        <v>232</v>
      </c>
      <c r="BN75" s="2" t="s">
        <v>232</v>
      </c>
      <c r="BO75" s="2" t="s">
        <v>232</v>
      </c>
      <c r="BP75" s="2" t="s">
        <v>232</v>
      </c>
    </row>
    <row r="76" ht="15.75" customHeight="1">
      <c r="A76" s="4" t="s">
        <v>292</v>
      </c>
      <c r="B76" s="1"/>
      <c r="C76" s="1"/>
      <c r="D76" s="1"/>
      <c r="E76" s="1"/>
      <c r="F76" s="1"/>
      <c r="G76" s="1"/>
      <c r="H76" s="1"/>
      <c r="I76" s="1"/>
      <c r="J76" s="1"/>
      <c r="K76" s="1"/>
      <c r="L76" s="1"/>
      <c r="M76" s="1"/>
      <c r="N76" s="1" t="s">
        <v>293</v>
      </c>
      <c r="O76" s="1"/>
      <c r="P76" s="1"/>
      <c r="Q76" s="1"/>
      <c r="R76" s="1"/>
      <c r="S76" s="1"/>
      <c r="T76" s="1"/>
      <c r="U76" s="1"/>
      <c r="V76" s="1"/>
      <c r="W76" s="1"/>
      <c r="X76" s="1"/>
      <c r="Y76" s="1"/>
      <c r="Z76" s="1"/>
      <c r="AA76" s="1"/>
      <c r="AB76" s="1"/>
      <c r="AC76" s="1"/>
      <c r="AD76" s="1"/>
      <c r="AE76" s="1"/>
      <c r="AF76" s="1"/>
      <c r="AG76" s="1"/>
      <c r="AH76" s="1"/>
      <c r="AI76" s="1" t="s">
        <v>294</v>
      </c>
      <c r="AJ76" s="1"/>
      <c r="AK76" s="1"/>
      <c r="AL76" s="1"/>
      <c r="AM76" s="1"/>
      <c r="AN76" s="1"/>
      <c r="AO76" s="1"/>
      <c r="AP76" s="1"/>
      <c r="AQ76" s="1"/>
      <c r="AR76" s="1"/>
      <c r="AS76" s="1"/>
      <c r="AT76" s="1"/>
      <c r="AU76" s="1"/>
      <c r="AV76" s="1"/>
      <c r="AW76" s="1"/>
      <c r="AX76" s="1"/>
      <c r="AY76" s="1"/>
      <c r="AZ76" s="1"/>
      <c r="BA76" s="1"/>
      <c r="BB76" s="1"/>
      <c r="BD76" s="2" t="s">
        <v>295</v>
      </c>
      <c r="BF76" s="13">
        <v>0.2</v>
      </c>
      <c r="BG76" s="2" t="s">
        <v>280</v>
      </c>
      <c r="BI76" s="2" t="s">
        <v>277</v>
      </c>
      <c r="BJ76" s="2" t="s">
        <v>276</v>
      </c>
      <c r="BK76" s="2" t="s">
        <v>278</v>
      </c>
      <c r="BL76" s="2" t="s">
        <v>278</v>
      </c>
      <c r="BM76" s="13">
        <v>0.28</v>
      </c>
      <c r="BN76" s="2" t="s">
        <v>277</v>
      </c>
      <c r="BO76" s="13">
        <v>0.25</v>
      </c>
      <c r="BP76" s="13">
        <v>0.13</v>
      </c>
    </row>
    <row r="77" ht="15.75" customHeight="1">
      <c r="A77" s="11" t="s">
        <v>281</v>
      </c>
      <c r="B77" s="1">
        <v>1.0</v>
      </c>
      <c r="C77" s="1">
        <v>6.0</v>
      </c>
      <c r="D77" s="1"/>
      <c r="E77" s="1">
        <v>0.0</v>
      </c>
      <c r="F77" s="1">
        <v>1.0</v>
      </c>
      <c r="G77" s="1">
        <v>2.0</v>
      </c>
      <c r="H77" s="1">
        <v>1.0</v>
      </c>
      <c r="I77" s="1">
        <v>1.0</v>
      </c>
      <c r="J77" s="1">
        <v>3.0</v>
      </c>
      <c r="K77" s="1">
        <v>1.0</v>
      </c>
      <c r="L77" s="1">
        <v>4.0</v>
      </c>
      <c r="M77" s="1">
        <v>5.0</v>
      </c>
      <c r="N77" s="1">
        <v>2.0</v>
      </c>
      <c r="O77" s="1">
        <v>1.0</v>
      </c>
      <c r="P77" s="1">
        <v>3.0</v>
      </c>
      <c r="Q77" s="1">
        <v>1.0</v>
      </c>
      <c r="R77" s="1">
        <v>3.0</v>
      </c>
      <c r="S77" s="1"/>
      <c r="T77" s="1">
        <v>1.0</v>
      </c>
      <c r="U77" s="1">
        <v>1.0</v>
      </c>
      <c r="V77" s="1">
        <v>0.0</v>
      </c>
      <c r="W77" s="1">
        <v>5.0</v>
      </c>
      <c r="X77" s="1">
        <v>1.0</v>
      </c>
      <c r="Y77" s="1">
        <v>11.0</v>
      </c>
      <c r="Z77" s="1">
        <v>1.0</v>
      </c>
      <c r="AA77" s="1">
        <v>5.0</v>
      </c>
      <c r="AB77" s="1">
        <v>0.0</v>
      </c>
      <c r="AC77" s="1">
        <v>5.0</v>
      </c>
      <c r="AD77" s="1">
        <v>6.0</v>
      </c>
      <c r="AE77" s="1">
        <v>3.0</v>
      </c>
      <c r="AF77" s="1">
        <v>3.0</v>
      </c>
      <c r="AG77" s="1">
        <v>8.0</v>
      </c>
      <c r="AH77" s="1">
        <v>4.0</v>
      </c>
      <c r="AI77" s="1">
        <v>1.0</v>
      </c>
      <c r="AJ77" s="1">
        <v>3.0</v>
      </c>
      <c r="AK77" s="1">
        <v>1.0</v>
      </c>
      <c r="AL77" s="1">
        <v>1.0</v>
      </c>
      <c r="AM77" s="1">
        <v>2.0</v>
      </c>
      <c r="AN77" s="1">
        <v>6.0</v>
      </c>
      <c r="AO77" s="1">
        <v>1.0</v>
      </c>
      <c r="AP77" s="1">
        <v>2.0</v>
      </c>
      <c r="AQ77" s="1">
        <v>1.0</v>
      </c>
      <c r="AR77" s="1">
        <v>1.0</v>
      </c>
      <c r="AS77" s="1">
        <v>1.0</v>
      </c>
      <c r="AT77" s="1">
        <v>1.0</v>
      </c>
      <c r="AU77" s="1">
        <v>2.0</v>
      </c>
      <c r="AV77" s="1">
        <v>1.0</v>
      </c>
      <c r="AW77" s="1">
        <v>1.0</v>
      </c>
      <c r="AX77" s="1">
        <v>0.0</v>
      </c>
      <c r="AY77" s="1">
        <v>1.0</v>
      </c>
      <c r="AZ77" s="1">
        <v>1.0</v>
      </c>
      <c r="BA77" s="1">
        <v>2.0</v>
      </c>
      <c r="BB77" s="1">
        <v>1.0</v>
      </c>
      <c r="BC77" s="2">
        <v>1.0</v>
      </c>
      <c r="BD77" s="2">
        <v>2.0</v>
      </c>
      <c r="BE77" s="2">
        <v>1.0</v>
      </c>
      <c r="BF77" s="2">
        <v>1.0</v>
      </c>
      <c r="BG77" s="2">
        <v>1.0</v>
      </c>
      <c r="BH77" s="2">
        <v>1.0</v>
      </c>
      <c r="BI77" s="2">
        <v>2.0</v>
      </c>
      <c r="BJ77" s="2">
        <v>1.0</v>
      </c>
      <c r="BK77" s="2">
        <v>1.0</v>
      </c>
      <c r="BL77" s="2">
        <v>1.0</v>
      </c>
      <c r="BM77" s="2">
        <v>4.0</v>
      </c>
      <c r="BN77" s="2">
        <v>1.0</v>
      </c>
      <c r="BO77" s="2">
        <v>1.0</v>
      </c>
      <c r="BP77" s="2">
        <v>1.0</v>
      </c>
    </row>
    <row r="78" ht="15.75" customHeight="1">
      <c r="A78" s="11" t="s">
        <v>282</v>
      </c>
      <c r="B78" s="1">
        <v>4.5</v>
      </c>
      <c r="C78" s="2" t="s">
        <v>232</v>
      </c>
      <c r="D78" s="1"/>
      <c r="E78" s="1">
        <v>5.21</v>
      </c>
      <c r="F78" s="1">
        <v>3.8</v>
      </c>
      <c r="G78" s="1" t="s">
        <v>232</v>
      </c>
      <c r="H78" s="1">
        <v>5.3</v>
      </c>
      <c r="I78" s="1" t="s">
        <v>232</v>
      </c>
      <c r="J78" s="1">
        <v>4.7</v>
      </c>
      <c r="K78" s="1" t="s">
        <v>232</v>
      </c>
      <c r="L78" s="1" t="s">
        <v>232</v>
      </c>
      <c r="M78" s="1" t="s">
        <v>232</v>
      </c>
      <c r="N78" s="1" t="s">
        <v>232</v>
      </c>
      <c r="O78" s="1" t="s">
        <v>232</v>
      </c>
      <c r="P78" s="1" t="s">
        <v>232</v>
      </c>
      <c r="Q78" s="1">
        <v>4.6</v>
      </c>
      <c r="R78" s="1" t="s">
        <v>232</v>
      </c>
      <c r="S78" s="1"/>
      <c r="T78" s="1">
        <v>4.06</v>
      </c>
      <c r="U78" s="1">
        <v>3.97</v>
      </c>
      <c r="V78" s="2">
        <v>3.83</v>
      </c>
      <c r="W78" s="1" t="s">
        <v>232</v>
      </c>
      <c r="X78" s="1" t="s">
        <v>232</v>
      </c>
      <c r="Y78" s="1" t="s">
        <v>232</v>
      </c>
      <c r="Z78" s="1" t="s">
        <v>232</v>
      </c>
      <c r="AA78" s="1" t="s">
        <v>232</v>
      </c>
      <c r="AB78" s="1" t="s">
        <v>232</v>
      </c>
      <c r="AC78" s="1">
        <v>5.9</v>
      </c>
      <c r="AD78" s="1">
        <v>4.0</v>
      </c>
      <c r="AE78" s="1">
        <v>3.13</v>
      </c>
      <c r="AF78" s="1">
        <v>4.3</v>
      </c>
      <c r="AG78" s="1" t="s">
        <v>232</v>
      </c>
      <c r="AH78" s="1" t="s">
        <v>262</v>
      </c>
      <c r="AI78" s="1">
        <v>4.53</v>
      </c>
      <c r="AJ78" s="1" t="s">
        <v>232</v>
      </c>
      <c r="AK78" s="1" t="s">
        <v>232</v>
      </c>
      <c r="AL78" s="1" t="s">
        <v>232</v>
      </c>
      <c r="AM78" s="1" t="s">
        <v>232</v>
      </c>
      <c r="AN78" s="1" t="s">
        <v>232</v>
      </c>
      <c r="AO78" s="1" t="s">
        <v>232</v>
      </c>
      <c r="AP78" s="1" t="s">
        <v>232</v>
      </c>
      <c r="AQ78" s="1" t="s">
        <v>232</v>
      </c>
      <c r="AR78" s="1">
        <v>1.0</v>
      </c>
      <c r="AS78" s="1" t="s">
        <v>232</v>
      </c>
      <c r="AT78" s="1">
        <v>2.99</v>
      </c>
      <c r="AU78" s="1">
        <v>3.66</v>
      </c>
      <c r="AV78" s="1" t="s">
        <v>232</v>
      </c>
      <c r="AW78" s="1" t="s">
        <v>232</v>
      </c>
      <c r="AX78" s="1"/>
      <c r="AY78" s="1" t="s">
        <v>232</v>
      </c>
      <c r="AZ78" s="1">
        <v>5.7</v>
      </c>
      <c r="BA78" s="1">
        <v>4.0</v>
      </c>
      <c r="BB78" s="1" t="s">
        <v>232</v>
      </c>
      <c r="BC78" s="2" t="s">
        <v>232</v>
      </c>
      <c r="BD78" s="2" t="s">
        <v>232</v>
      </c>
      <c r="BE78" s="2" t="s">
        <v>232</v>
      </c>
      <c r="BF78" s="2">
        <v>6.9</v>
      </c>
      <c r="BG78" s="2" t="s">
        <v>232</v>
      </c>
      <c r="BH78" s="2">
        <v>5.4</v>
      </c>
      <c r="BI78" s="2" t="s">
        <v>232</v>
      </c>
      <c r="BJ78" s="2">
        <v>5.4</v>
      </c>
      <c r="BK78" s="2">
        <v>5.4</v>
      </c>
      <c r="BM78" s="2">
        <v>4.8</v>
      </c>
      <c r="BN78" s="2" t="s">
        <v>232</v>
      </c>
      <c r="BO78" s="2" t="s">
        <v>232</v>
      </c>
      <c r="BP78" s="2">
        <v>3.2</v>
      </c>
    </row>
    <row r="79" ht="15.75" customHeight="1">
      <c r="A79" s="11" t="s">
        <v>284</v>
      </c>
      <c r="B79" s="1">
        <v>2.3</v>
      </c>
      <c r="C79" s="1" t="s">
        <v>232</v>
      </c>
      <c r="D79" s="1"/>
      <c r="E79" s="1" t="s">
        <v>232</v>
      </c>
      <c r="F79" s="1">
        <v>1.89</v>
      </c>
      <c r="G79" s="1">
        <v>2.0</v>
      </c>
      <c r="H79" s="1" t="s">
        <v>232</v>
      </c>
      <c r="I79" s="1" t="s">
        <v>232</v>
      </c>
      <c r="J79" s="1" t="s">
        <v>232</v>
      </c>
      <c r="K79" s="1" t="s">
        <v>296</v>
      </c>
      <c r="L79" s="1" t="s">
        <v>232</v>
      </c>
      <c r="M79" s="1" t="s">
        <v>232</v>
      </c>
      <c r="N79" s="1" t="s">
        <v>232</v>
      </c>
      <c r="O79" s="1" t="s">
        <v>232</v>
      </c>
      <c r="P79" s="1">
        <v>2.9</v>
      </c>
      <c r="Q79" s="1">
        <v>1.2</v>
      </c>
      <c r="R79" s="1" t="s">
        <v>232</v>
      </c>
      <c r="S79" s="1"/>
      <c r="T79" s="1">
        <v>1.6</v>
      </c>
      <c r="U79" s="1" t="s">
        <v>232</v>
      </c>
      <c r="V79" s="1">
        <v>1.3</v>
      </c>
      <c r="W79" s="1">
        <v>1.16</v>
      </c>
      <c r="X79" s="1" t="s">
        <v>232</v>
      </c>
      <c r="Y79" s="1">
        <v>2.23</v>
      </c>
      <c r="Z79" s="1" t="s">
        <v>232</v>
      </c>
      <c r="AA79" s="1" t="s">
        <v>232</v>
      </c>
      <c r="AB79" s="1">
        <v>0.8</v>
      </c>
      <c r="AC79" s="1">
        <v>0.9</v>
      </c>
      <c r="AD79" s="1">
        <v>1.65</v>
      </c>
      <c r="AE79" s="1" t="s">
        <v>232</v>
      </c>
      <c r="AF79" s="1">
        <v>1.9</v>
      </c>
      <c r="AG79" s="1" t="s">
        <v>232</v>
      </c>
      <c r="AH79" s="1" t="s">
        <v>262</v>
      </c>
      <c r="AI79" s="1" t="s">
        <v>232</v>
      </c>
      <c r="AJ79" s="1">
        <v>2.14</v>
      </c>
      <c r="AK79" s="1" t="s">
        <v>232</v>
      </c>
      <c r="AL79" s="1">
        <v>1.91</v>
      </c>
      <c r="AM79" s="1" t="s">
        <v>232</v>
      </c>
      <c r="AN79" s="1">
        <v>2.14</v>
      </c>
      <c r="AO79" s="1">
        <v>2.91</v>
      </c>
      <c r="AP79" s="1">
        <v>2.03</v>
      </c>
      <c r="AQ79" s="1" t="s">
        <v>232</v>
      </c>
      <c r="AR79" s="1">
        <v>2.59</v>
      </c>
      <c r="AS79" s="1" t="s">
        <v>232</v>
      </c>
      <c r="AT79" s="1" t="s">
        <v>232</v>
      </c>
      <c r="AU79" s="1">
        <v>1.9</v>
      </c>
      <c r="AV79" s="1" t="s">
        <v>232</v>
      </c>
      <c r="AW79" s="1" t="s">
        <v>232</v>
      </c>
      <c r="AX79" s="1">
        <v>2.1</v>
      </c>
      <c r="AY79" s="1">
        <v>1.8</v>
      </c>
      <c r="AZ79" s="1">
        <v>2.6</v>
      </c>
      <c r="BA79" s="1" t="s">
        <v>232</v>
      </c>
      <c r="BB79" s="1" t="s">
        <v>232</v>
      </c>
      <c r="BC79" s="2">
        <v>1.9</v>
      </c>
      <c r="BD79" s="2" t="s">
        <v>232</v>
      </c>
      <c r="BE79" s="2">
        <v>1.9</v>
      </c>
      <c r="BF79" s="2">
        <v>1.8</v>
      </c>
      <c r="BG79" s="2" t="s">
        <v>232</v>
      </c>
      <c r="BH79" s="2">
        <v>1.4</v>
      </c>
      <c r="BI79" s="2">
        <v>1.8</v>
      </c>
      <c r="BJ79" s="2">
        <v>2.0</v>
      </c>
      <c r="BK79" s="2">
        <v>1.5</v>
      </c>
      <c r="BL79" s="2">
        <v>1.7</v>
      </c>
      <c r="BM79" s="2">
        <v>0.5</v>
      </c>
      <c r="BN79" s="2">
        <v>2.4</v>
      </c>
      <c r="BO79" s="2" t="s">
        <v>232</v>
      </c>
      <c r="BP79" s="2">
        <v>0.8</v>
      </c>
    </row>
    <row r="80" ht="15.75" customHeight="1">
      <c r="A80" s="11" t="s">
        <v>285</v>
      </c>
      <c r="B80" s="1">
        <v>10.0</v>
      </c>
      <c r="C80" s="1" t="s">
        <v>232</v>
      </c>
      <c r="D80" s="1"/>
      <c r="E80" s="1" t="s">
        <v>232</v>
      </c>
      <c r="F80" s="1" t="s">
        <v>232</v>
      </c>
      <c r="G80" s="1" t="s">
        <v>262</v>
      </c>
      <c r="H80" s="1" t="s">
        <v>232</v>
      </c>
      <c r="I80" s="1" t="s">
        <v>232</v>
      </c>
      <c r="J80" s="1" t="s">
        <v>232</v>
      </c>
      <c r="K80" s="1">
        <v>16.0</v>
      </c>
      <c r="L80" s="1" t="s">
        <v>232</v>
      </c>
      <c r="M80" s="1" t="s">
        <v>232</v>
      </c>
      <c r="N80" s="1" t="s">
        <v>232</v>
      </c>
      <c r="O80" s="1" t="s">
        <v>232</v>
      </c>
      <c r="P80" s="1" t="s">
        <v>232</v>
      </c>
      <c r="Q80" s="1" t="s">
        <v>232</v>
      </c>
      <c r="R80" s="1" t="s">
        <v>232</v>
      </c>
      <c r="S80" s="1"/>
      <c r="T80" s="1">
        <v>13.0</v>
      </c>
      <c r="U80" s="1" t="s">
        <v>232</v>
      </c>
      <c r="V80" s="1">
        <v>5.0</v>
      </c>
      <c r="W80" s="1" t="s">
        <v>232</v>
      </c>
      <c r="X80" s="1" t="s">
        <v>232</v>
      </c>
      <c r="Y80" s="1" t="s">
        <v>232</v>
      </c>
      <c r="Z80" s="1" t="s">
        <v>232</v>
      </c>
      <c r="AA80" s="1" t="s">
        <v>232</v>
      </c>
      <c r="AB80" s="1" t="s">
        <v>232</v>
      </c>
      <c r="AC80" s="1" t="s">
        <v>232</v>
      </c>
      <c r="AD80" s="1" t="s">
        <v>232</v>
      </c>
      <c r="AE80" s="1" t="s">
        <v>232</v>
      </c>
      <c r="AF80" s="1" t="s">
        <v>232</v>
      </c>
      <c r="AG80" s="1" t="s">
        <v>232</v>
      </c>
      <c r="AH80" s="1" t="s">
        <v>262</v>
      </c>
      <c r="AI80" s="1" t="s">
        <v>232</v>
      </c>
      <c r="AJ80" s="1" t="s">
        <v>232</v>
      </c>
      <c r="AK80" s="1" t="s">
        <v>232</v>
      </c>
      <c r="AL80" s="1" t="s">
        <v>232</v>
      </c>
      <c r="AM80" s="1" t="s">
        <v>232</v>
      </c>
      <c r="AN80" s="1" t="s">
        <v>232</v>
      </c>
      <c r="AO80" s="1" t="s">
        <v>232</v>
      </c>
      <c r="AP80" s="1" t="s">
        <v>232</v>
      </c>
      <c r="AQ80" s="1" t="s">
        <v>232</v>
      </c>
      <c r="AR80" s="1" t="s">
        <v>232</v>
      </c>
      <c r="AS80" s="1" t="s">
        <v>232</v>
      </c>
      <c r="AT80" s="1" t="s">
        <v>232</v>
      </c>
      <c r="AU80" s="1" t="s">
        <v>232</v>
      </c>
      <c r="AV80" s="1" t="s">
        <v>232</v>
      </c>
      <c r="AW80" s="1" t="s">
        <v>232</v>
      </c>
      <c r="AX80" s="1" t="s">
        <v>232</v>
      </c>
      <c r="AY80" s="1" t="s">
        <v>232</v>
      </c>
      <c r="AZ80" s="1" t="s">
        <v>232</v>
      </c>
      <c r="BA80" s="1" t="s">
        <v>232</v>
      </c>
      <c r="BB80" s="1" t="s">
        <v>232</v>
      </c>
      <c r="BC80" s="2">
        <v>13.4</v>
      </c>
      <c r="BD80" s="2" t="s">
        <v>232</v>
      </c>
      <c r="BE80" s="2">
        <v>13.4</v>
      </c>
      <c r="BF80" s="2" t="s">
        <v>232</v>
      </c>
      <c r="BG80" s="2" t="s">
        <v>232</v>
      </c>
      <c r="BH80" s="2" t="s">
        <v>232</v>
      </c>
      <c r="BI80" s="2" t="s">
        <v>232</v>
      </c>
      <c r="BJ80" s="2" t="s">
        <v>232</v>
      </c>
      <c r="BK80" s="2" t="s">
        <v>232</v>
      </c>
      <c r="BL80" s="2" t="s">
        <v>232</v>
      </c>
      <c r="BM80" s="2" t="s">
        <v>232</v>
      </c>
      <c r="BN80" s="2" t="s">
        <v>232</v>
      </c>
      <c r="BO80" s="2" t="s">
        <v>232</v>
      </c>
      <c r="BP80" s="2" t="s">
        <v>232</v>
      </c>
    </row>
    <row r="81" ht="15.75" customHeight="1">
      <c r="A81" s="11" t="s">
        <v>286</v>
      </c>
      <c r="B81" s="1" t="s">
        <v>232</v>
      </c>
      <c r="C81" s="1" t="s">
        <v>287</v>
      </c>
      <c r="D81" s="1"/>
      <c r="E81" s="1" t="s">
        <v>232</v>
      </c>
      <c r="F81" s="1" t="s">
        <v>232</v>
      </c>
      <c r="G81" s="1" t="s">
        <v>262</v>
      </c>
      <c r="H81" s="1" t="s">
        <v>232</v>
      </c>
      <c r="I81" s="1" t="s">
        <v>232</v>
      </c>
      <c r="J81" s="1" t="s">
        <v>232</v>
      </c>
      <c r="K81" s="1" t="s">
        <v>232</v>
      </c>
      <c r="L81" s="1" t="s">
        <v>232</v>
      </c>
      <c r="M81" s="1" t="s">
        <v>232</v>
      </c>
      <c r="N81" s="1" t="s">
        <v>232</v>
      </c>
      <c r="O81" s="1" t="s">
        <v>232</v>
      </c>
      <c r="P81" s="1" t="s">
        <v>232</v>
      </c>
      <c r="Q81" s="1" t="s">
        <v>232</v>
      </c>
      <c r="R81" s="1" t="s">
        <v>232</v>
      </c>
      <c r="S81" s="1"/>
      <c r="T81" s="1" t="s">
        <v>232</v>
      </c>
      <c r="U81" s="1" t="s">
        <v>232</v>
      </c>
      <c r="V81" s="1" t="s">
        <v>232</v>
      </c>
      <c r="W81" s="1" t="s">
        <v>232</v>
      </c>
      <c r="X81" s="1" t="s">
        <v>232</v>
      </c>
      <c r="Y81" s="1" t="s">
        <v>232</v>
      </c>
      <c r="Z81" s="1" t="s">
        <v>232</v>
      </c>
      <c r="AA81" s="1" t="s">
        <v>232</v>
      </c>
      <c r="AB81" s="1" t="s">
        <v>232</v>
      </c>
      <c r="AC81" s="1" t="s">
        <v>232</v>
      </c>
      <c r="AD81" s="1" t="s">
        <v>232</v>
      </c>
      <c r="AE81" s="1" t="s">
        <v>232</v>
      </c>
      <c r="AF81" s="1" t="s">
        <v>232</v>
      </c>
      <c r="AG81" s="1" t="s">
        <v>232</v>
      </c>
      <c r="AH81" s="1" t="s">
        <v>262</v>
      </c>
      <c r="AI81" s="1" t="s">
        <v>232</v>
      </c>
      <c r="AJ81" s="1" t="s">
        <v>232</v>
      </c>
      <c r="AK81" s="1" t="s">
        <v>232</v>
      </c>
      <c r="AL81" s="1" t="s">
        <v>232</v>
      </c>
      <c r="AM81" s="1" t="s">
        <v>232</v>
      </c>
      <c r="AN81" s="1" t="s">
        <v>232</v>
      </c>
      <c r="AO81" s="1" t="s">
        <v>232</v>
      </c>
      <c r="AP81" s="1" t="s">
        <v>232</v>
      </c>
      <c r="AQ81" s="1" t="s">
        <v>232</v>
      </c>
      <c r="AR81" s="1" t="s">
        <v>232</v>
      </c>
      <c r="AS81" s="1" t="s">
        <v>232</v>
      </c>
      <c r="AT81" s="1" t="s">
        <v>232</v>
      </c>
      <c r="AU81" s="1" t="s">
        <v>232</v>
      </c>
      <c r="AV81" s="1" t="s">
        <v>232</v>
      </c>
      <c r="AW81" s="1" t="s">
        <v>232</v>
      </c>
      <c r="AX81" s="1" t="s">
        <v>232</v>
      </c>
      <c r="AY81" s="1" t="s">
        <v>232</v>
      </c>
      <c r="AZ81" s="1" t="s">
        <v>232</v>
      </c>
      <c r="BA81" s="1" t="s">
        <v>232</v>
      </c>
      <c r="BB81" s="1" t="s">
        <v>232</v>
      </c>
      <c r="BC81" s="2">
        <v>10.0</v>
      </c>
      <c r="BD81" s="2" t="s">
        <v>232</v>
      </c>
      <c r="BE81" s="2" t="s">
        <v>232</v>
      </c>
      <c r="BF81" s="2" t="s">
        <v>232</v>
      </c>
      <c r="BG81" s="2" t="s">
        <v>232</v>
      </c>
      <c r="BH81" s="2" t="s">
        <v>232</v>
      </c>
      <c r="BI81" s="2" t="s">
        <v>232</v>
      </c>
      <c r="BJ81" s="2" t="s">
        <v>232</v>
      </c>
      <c r="BK81" s="2" t="s">
        <v>232</v>
      </c>
      <c r="BL81" s="2" t="s">
        <v>232</v>
      </c>
      <c r="BM81" s="2" t="s">
        <v>232</v>
      </c>
      <c r="BN81" s="2" t="s">
        <v>232</v>
      </c>
      <c r="BO81" s="2" t="s">
        <v>232</v>
      </c>
      <c r="BP81" s="2" t="s">
        <v>232</v>
      </c>
    </row>
    <row r="82" ht="15.75" customHeight="1">
      <c r="A82" s="11" t="s">
        <v>288</v>
      </c>
      <c r="B82" s="1">
        <v>2.0</v>
      </c>
      <c r="C82" s="1">
        <v>2.0</v>
      </c>
      <c r="D82" s="1"/>
      <c r="E82" s="1">
        <v>2.0</v>
      </c>
      <c r="F82" s="1">
        <v>2.0</v>
      </c>
      <c r="G82" s="1">
        <v>2.0</v>
      </c>
      <c r="H82" s="1">
        <v>1.0</v>
      </c>
      <c r="I82" s="1">
        <v>1.0</v>
      </c>
      <c r="J82" s="1">
        <v>2.0</v>
      </c>
      <c r="K82" s="1">
        <v>1.0</v>
      </c>
      <c r="L82" s="1">
        <v>2.0</v>
      </c>
      <c r="M82" s="1">
        <v>2.5</v>
      </c>
      <c r="N82" s="1">
        <v>1.0</v>
      </c>
      <c r="O82" s="1">
        <v>1.5</v>
      </c>
      <c r="P82" s="1">
        <v>1.0</v>
      </c>
      <c r="Q82" s="1">
        <v>1.5</v>
      </c>
      <c r="R82" s="1">
        <v>1.0</v>
      </c>
      <c r="S82" s="1"/>
      <c r="T82" s="1">
        <v>2.5</v>
      </c>
      <c r="U82" s="1">
        <v>1.0</v>
      </c>
      <c r="V82" s="1">
        <v>3.0</v>
      </c>
      <c r="W82" s="1">
        <v>2.0</v>
      </c>
      <c r="X82" s="1">
        <v>1.0</v>
      </c>
      <c r="Y82" s="1">
        <v>1.0</v>
      </c>
      <c r="Z82" s="1">
        <v>1.0</v>
      </c>
      <c r="AA82" s="1">
        <v>1.0</v>
      </c>
      <c r="AB82" s="1">
        <v>2.5</v>
      </c>
      <c r="AC82" s="1">
        <v>2.0</v>
      </c>
      <c r="AD82" s="1">
        <v>2.0</v>
      </c>
      <c r="AE82" s="1">
        <v>2.0</v>
      </c>
      <c r="AF82" s="1">
        <v>1.0</v>
      </c>
      <c r="AG82" s="1">
        <v>1.0</v>
      </c>
      <c r="AH82" s="1">
        <v>1.0</v>
      </c>
      <c r="AI82" s="1">
        <v>1.0</v>
      </c>
      <c r="AJ82" s="1">
        <v>1.0</v>
      </c>
      <c r="AK82" s="1">
        <v>1.0</v>
      </c>
      <c r="AL82" s="1">
        <v>1.5</v>
      </c>
      <c r="AM82" s="1">
        <v>0.0</v>
      </c>
      <c r="AN82" s="1">
        <v>3.0</v>
      </c>
      <c r="AO82" s="1">
        <v>1.0</v>
      </c>
      <c r="AP82" s="1" t="s">
        <v>232</v>
      </c>
      <c r="AQ82" s="1">
        <v>1.5</v>
      </c>
      <c r="AR82" s="1" t="s">
        <v>232</v>
      </c>
      <c r="AS82" s="1">
        <v>1.0</v>
      </c>
      <c r="AT82" s="1">
        <v>2.0</v>
      </c>
      <c r="AU82" s="1">
        <v>1.0</v>
      </c>
      <c r="AV82" s="1">
        <v>1.0</v>
      </c>
      <c r="AW82" s="1">
        <v>3.0</v>
      </c>
      <c r="AX82" s="1">
        <v>2.5</v>
      </c>
      <c r="AY82" s="1">
        <v>1.0</v>
      </c>
      <c r="AZ82" s="1">
        <v>2.5</v>
      </c>
      <c r="BA82" s="1">
        <v>1.0</v>
      </c>
      <c r="BB82" s="1">
        <v>0.0</v>
      </c>
      <c r="BC82" s="2">
        <v>1.0</v>
      </c>
      <c r="BD82" s="2">
        <v>1.0</v>
      </c>
      <c r="BE82" s="2">
        <v>1.0</v>
      </c>
      <c r="BF82" s="2">
        <v>2.0</v>
      </c>
      <c r="BG82" s="2">
        <v>2.0</v>
      </c>
      <c r="BH82" s="2">
        <v>1.0</v>
      </c>
      <c r="BI82" s="2">
        <v>1.0</v>
      </c>
      <c r="BJ82" s="2">
        <v>2.0</v>
      </c>
      <c r="BK82" s="2">
        <v>2.0</v>
      </c>
      <c r="BL82" s="2" t="s">
        <v>232</v>
      </c>
      <c r="BM82" s="2">
        <v>2.0</v>
      </c>
      <c r="BN82" s="2" t="s">
        <v>232</v>
      </c>
      <c r="BO82" s="2">
        <v>1.0</v>
      </c>
      <c r="BP82" s="2">
        <v>2.0</v>
      </c>
    </row>
    <row r="83" ht="15.75" customHeight="1">
      <c r="A83" s="11" t="s">
        <v>234</v>
      </c>
      <c r="B83" s="1">
        <v>50.0</v>
      </c>
      <c r="C83" s="1">
        <v>52.0</v>
      </c>
      <c r="D83" s="1"/>
      <c r="E83" s="1">
        <v>58.0</v>
      </c>
      <c r="F83" s="1">
        <v>34.0</v>
      </c>
      <c r="G83" s="1">
        <v>54.0</v>
      </c>
      <c r="H83" s="1" t="s">
        <v>232</v>
      </c>
      <c r="I83" s="1" t="s">
        <v>232</v>
      </c>
      <c r="J83" s="1" t="s">
        <v>232</v>
      </c>
      <c r="K83" s="1" t="s">
        <v>232</v>
      </c>
      <c r="L83" s="1" t="s">
        <v>232</v>
      </c>
      <c r="M83" s="1" t="s">
        <v>232</v>
      </c>
      <c r="N83" s="1" t="s">
        <v>232</v>
      </c>
      <c r="O83" s="1">
        <v>32.0</v>
      </c>
      <c r="P83" s="1" t="s">
        <v>232</v>
      </c>
      <c r="Q83" s="1">
        <v>35.0</v>
      </c>
      <c r="R83" s="1" t="s">
        <v>232</v>
      </c>
      <c r="S83" s="1"/>
      <c r="T83" s="1">
        <v>82.0</v>
      </c>
      <c r="U83" s="1">
        <v>41.0</v>
      </c>
      <c r="V83" s="1">
        <v>44.0</v>
      </c>
      <c r="W83" s="1">
        <v>56.0</v>
      </c>
      <c r="X83" s="1">
        <v>27.0</v>
      </c>
      <c r="Y83" s="1" t="s">
        <v>232</v>
      </c>
      <c r="Z83" s="1" t="s">
        <v>232</v>
      </c>
      <c r="AA83" s="1">
        <v>37.0</v>
      </c>
      <c r="AB83" s="1">
        <v>31.0</v>
      </c>
      <c r="AC83" s="1">
        <v>55.0</v>
      </c>
      <c r="AD83" s="1">
        <v>65.0</v>
      </c>
      <c r="AE83" s="1">
        <v>32.0</v>
      </c>
      <c r="AF83" s="1" t="s">
        <v>232</v>
      </c>
      <c r="AG83" s="1" t="s">
        <v>232</v>
      </c>
      <c r="AH83" s="1">
        <v>36.0</v>
      </c>
      <c r="AI83" s="1">
        <v>54.0</v>
      </c>
      <c r="AJ83" s="1" t="s">
        <v>232</v>
      </c>
      <c r="AK83" s="1">
        <v>52.0</v>
      </c>
      <c r="AL83" s="1">
        <v>56.0</v>
      </c>
      <c r="AM83" s="1" t="s">
        <v>232</v>
      </c>
      <c r="AN83" s="1">
        <v>42.0</v>
      </c>
      <c r="AO83" s="1" t="s">
        <v>232</v>
      </c>
      <c r="AP83" s="1" t="s">
        <v>232</v>
      </c>
      <c r="AQ83" s="1">
        <v>45.0</v>
      </c>
      <c r="AR83" s="1">
        <v>37.0</v>
      </c>
      <c r="AS83" s="1" t="s">
        <v>232</v>
      </c>
      <c r="AT83" s="1">
        <v>30.0</v>
      </c>
      <c r="AU83" s="1">
        <v>52.0</v>
      </c>
      <c r="AV83" s="1" t="s">
        <v>232</v>
      </c>
      <c r="AW83" s="1">
        <v>45.0</v>
      </c>
      <c r="AX83" s="1" t="s">
        <v>232</v>
      </c>
      <c r="AY83" s="1" t="s">
        <v>232</v>
      </c>
      <c r="AZ83" s="1">
        <v>45.0</v>
      </c>
      <c r="BA83" s="1" t="s">
        <v>232</v>
      </c>
      <c r="BB83" s="1" t="s">
        <v>232</v>
      </c>
      <c r="BC83" s="2" t="s">
        <v>232</v>
      </c>
      <c r="BD83" s="2">
        <v>40.0</v>
      </c>
      <c r="BE83" s="2" t="s">
        <v>232</v>
      </c>
      <c r="BF83" s="2">
        <v>47.0</v>
      </c>
      <c r="BG83" s="2">
        <v>47.0</v>
      </c>
      <c r="BH83" s="2">
        <v>27.0</v>
      </c>
      <c r="BI83" s="2" t="s">
        <v>232</v>
      </c>
      <c r="BJ83" s="2">
        <v>46.0</v>
      </c>
      <c r="BK83" s="2">
        <v>30.0</v>
      </c>
      <c r="BL83" s="2" t="s">
        <v>232</v>
      </c>
      <c r="BM83" s="2">
        <v>22.0</v>
      </c>
      <c r="BN83" s="2" t="s">
        <v>232</v>
      </c>
      <c r="BO83" s="2">
        <v>35.0</v>
      </c>
      <c r="BP83" s="2">
        <v>51.0</v>
      </c>
    </row>
    <row r="84" ht="15.75" customHeight="1">
      <c r="A84" s="11" t="s">
        <v>289</v>
      </c>
      <c r="B84" s="1">
        <v>6.0</v>
      </c>
      <c r="C84" s="1">
        <v>6.92</v>
      </c>
      <c r="D84" s="1"/>
      <c r="E84" s="1">
        <v>6.96</v>
      </c>
      <c r="F84" s="1">
        <v>7.0</v>
      </c>
      <c r="G84" s="1">
        <v>6.0</v>
      </c>
      <c r="H84" s="1">
        <v>6.25</v>
      </c>
      <c r="I84" s="1">
        <v>6.45</v>
      </c>
      <c r="J84" s="1">
        <v>6.81</v>
      </c>
      <c r="K84" s="1">
        <v>6.89</v>
      </c>
      <c r="L84" s="1">
        <v>7.12</v>
      </c>
      <c r="M84" s="1">
        <v>5.44</v>
      </c>
      <c r="N84" s="1">
        <v>6.73</v>
      </c>
      <c r="O84" s="1">
        <v>5.8</v>
      </c>
      <c r="P84" s="1" t="s">
        <v>232</v>
      </c>
      <c r="Q84" s="1">
        <v>7.38</v>
      </c>
      <c r="R84" s="1">
        <v>5.73</v>
      </c>
      <c r="S84" s="1"/>
      <c r="T84" s="1">
        <v>5.87</v>
      </c>
      <c r="U84" s="1">
        <v>5.7</v>
      </c>
      <c r="V84" s="1">
        <v>4.98</v>
      </c>
      <c r="W84" s="1">
        <v>8.46</v>
      </c>
      <c r="X84" s="1">
        <v>7.37</v>
      </c>
      <c r="Y84" s="1" t="s">
        <v>232</v>
      </c>
      <c r="Z84" s="1">
        <v>7.72</v>
      </c>
      <c r="AA84" s="1">
        <v>7.75</v>
      </c>
      <c r="AB84" s="1" t="s">
        <v>232</v>
      </c>
      <c r="AC84" s="1">
        <v>6.4</v>
      </c>
      <c r="AD84" s="1">
        <v>5.7</v>
      </c>
      <c r="AE84" s="1">
        <v>4.65</v>
      </c>
      <c r="AF84" s="1">
        <v>7.6</v>
      </c>
      <c r="AG84" s="2" t="s">
        <v>232</v>
      </c>
      <c r="AH84" s="1">
        <v>5.1</v>
      </c>
      <c r="AI84" s="1">
        <v>6.0</v>
      </c>
      <c r="AJ84" s="1">
        <v>4.07</v>
      </c>
      <c r="AK84" s="1">
        <v>5.56</v>
      </c>
      <c r="AL84" s="1">
        <v>6.4</v>
      </c>
      <c r="AM84" s="1">
        <v>8.26</v>
      </c>
      <c r="AN84" s="1">
        <v>7.0</v>
      </c>
      <c r="AO84" s="1">
        <v>6.88</v>
      </c>
      <c r="AP84" s="1">
        <v>7.19</v>
      </c>
      <c r="AQ84" s="1">
        <v>6.66</v>
      </c>
      <c r="AR84" s="1" t="s">
        <v>232</v>
      </c>
      <c r="AS84" s="1">
        <v>6.07</v>
      </c>
      <c r="AT84" s="1">
        <v>5.12</v>
      </c>
      <c r="AU84" s="1">
        <v>5.85</v>
      </c>
      <c r="AV84" s="1">
        <v>6.56</v>
      </c>
      <c r="AW84" s="1">
        <v>6.25</v>
      </c>
      <c r="AX84" s="1" t="s">
        <v>232</v>
      </c>
      <c r="AY84" s="1" t="s">
        <v>232</v>
      </c>
      <c r="AZ84" s="1">
        <v>7.4</v>
      </c>
      <c r="BA84" s="1">
        <v>4.7</v>
      </c>
      <c r="BB84" s="1">
        <v>6.0</v>
      </c>
      <c r="BC84" s="2" t="s">
        <v>232</v>
      </c>
      <c r="BD84" s="2">
        <v>7.4</v>
      </c>
      <c r="BE84" s="2">
        <v>7.0</v>
      </c>
      <c r="BF84" s="2">
        <v>6.8</v>
      </c>
      <c r="BG84" s="2">
        <v>5.7</v>
      </c>
      <c r="BH84" s="2">
        <v>6.1</v>
      </c>
      <c r="BI84" s="2">
        <v>7.7</v>
      </c>
      <c r="BJ84" s="2">
        <v>6.0</v>
      </c>
      <c r="BK84" s="2">
        <v>5.9</v>
      </c>
      <c r="BL84" s="2" t="s">
        <v>232</v>
      </c>
      <c r="BM84" s="2">
        <v>5.4</v>
      </c>
      <c r="BN84" s="2">
        <v>6.9</v>
      </c>
      <c r="BO84" s="2">
        <v>8.7</v>
      </c>
      <c r="BP84" s="2">
        <v>6.6</v>
      </c>
    </row>
    <row r="85" ht="15.75" customHeight="1">
      <c r="A85" s="11" t="s">
        <v>290</v>
      </c>
      <c r="B85" s="1">
        <v>1.0</v>
      </c>
      <c r="C85" s="1">
        <v>1.0</v>
      </c>
      <c r="D85" s="1"/>
      <c r="E85" s="1">
        <v>1.0</v>
      </c>
      <c r="F85" s="1" t="s">
        <v>232</v>
      </c>
      <c r="G85" s="1" t="s">
        <v>262</v>
      </c>
      <c r="H85" s="1" t="s">
        <v>232</v>
      </c>
      <c r="I85" s="1" t="s">
        <v>232</v>
      </c>
      <c r="J85" s="1" t="s">
        <v>232</v>
      </c>
      <c r="K85" s="1" t="s">
        <v>232</v>
      </c>
      <c r="L85" s="1" t="s">
        <v>232</v>
      </c>
      <c r="M85" s="1" t="s">
        <v>232</v>
      </c>
      <c r="N85" s="1">
        <v>0.0</v>
      </c>
      <c r="O85" s="1">
        <v>1.0</v>
      </c>
      <c r="P85" s="1" t="s">
        <v>232</v>
      </c>
      <c r="Q85" s="1" t="s">
        <v>232</v>
      </c>
      <c r="R85" s="1">
        <v>0.0</v>
      </c>
      <c r="S85" s="1"/>
      <c r="T85" s="1">
        <v>0.0</v>
      </c>
      <c r="U85" s="1">
        <v>0.0</v>
      </c>
      <c r="V85" s="1">
        <v>0.0</v>
      </c>
      <c r="W85" s="1">
        <v>0.0</v>
      </c>
      <c r="X85" s="1">
        <v>0.0</v>
      </c>
      <c r="Y85" s="1" t="s">
        <v>232</v>
      </c>
      <c r="Z85" s="1" t="s">
        <v>232</v>
      </c>
      <c r="AA85" s="1">
        <v>0.0</v>
      </c>
      <c r="AB85" s="1" t="s">
        <v>232</v>
      </c>
      <c r="AC85" s="1">
        <v>0.0</v>
      </c>
      <c r="AD85" s="1">
        <v>0.0</v>
      </c>
      <c r="AE85" s="1">
        <v>0.0</v>
      </c>
      <c r="AF85" s="1">
        <v>0.0</v>
      </c>
      <c r="AG85" s="1">
        <v>0.0</v>
      </c>
      <c r="AH85" s="1">
        <v>0.0</v>
      </c>
      <c r="AI85" s="1">
        <v>0.0</v>
      </c>
      <c r="AJ85" s="1">
        <v>0.0</v>
      </c>
      <c r="AK85" s="1">
        <v>1.0</v>
      </c>
      <c r="AL85" s="1">
        <v>0.0</v>
      </c>
      <c r="AM85" s="1" t="s">
        <v>232</v>
      </c>
      <c r="AN85" s="1">
        <v>0.0</v>
      </c>
      <c r="AO85" s="1">
        <v>0.0</v>
      </c>
      <c r="AP85" s="1">
        <v>0.0</v>
      </c>
      <c r="AQ85" s="1">
        <v>1.0</v>
      </c>
      <c r="AR85" s="1" t="s">
        <v>232</v>
      </c>
      <c r="AS85" s="1">
        <v>0.0</v>
      </c>
      <c r="AT85" s="1">
        <v>0.0</v>
      </c>
      <c r="AU85" s="1">
        <v>0.0</v>
      </c>
      <c r="AV85" s="1">
        <v>0.0</v>
      </c>
      <c r="AW85" s="1">
        <v>0.0</v>
      </c>
      <c r="AX85" s="1">
        <v>1.0</v>
      </c>
      <c r="AY85" s="1">
        <v>0.0</v>
      </c>
      <c r="AZ85" s="1">
        <v>0.0</v>
      </c>
      <c r="BA85" s="1">
        <v>0.0</v>
      </c>
      <c r="BB85" s="1">
        <v>0.0</v>
      </c>
      <c r="BC85" s="2" t="s">
        <v>232</v>
      </c>
      <c r="BD85" s="2" t="s">
        <v>232</v>
      </c>
      <c r="BE85" s="2" t="s">
        <v>232</v>
      </c>
      <c r="BF85" s="2" t="s">
        <v>232</v>
      </c>
      <c r="BG85" s="2" t="s">
        <v>232</v>
      </c>
      <c r="BH85" s="2" t="s">
        <v>232</v>
      </c>
      <c r="BI85" s="2" t="s">
        <v>232</v>
      </c>
      <c r="BJ85" s="2" t="s">
        <v>232</v>
      </c>
      <c r="BK85" s="2" t="s">
        <v>232</v>
      </c>
      <c r="BL85" s="2" t="s">
        <v>232</v>
      </c>
      <c r="BM85" s="2" t="s">
        <v>232</v>
      </c>
      <c r="BN85" s="2" t="s">
        <v>232</v>
      </c>
      <c r="BO85" s="2" t="s">
        <v>232</v>
      </c>
      <c r="BP85" s="2" t="s">
        <v>232</v>
      </c>
    </row>
    <row r="86" ht="15.75" customHeight="1">
      <c r="A86" s="15" t="s">
        <v>291</v>
      </c>
      <c r="B86" s="1" t="s">
        <v>232</v>
      </c>
      <c r="C86" s="1">
        <v>0.0</v>
      </c>
      <c r="D86" s="1"/>
      <c r="E86" s="1">
        <v>0.0</v>
      </c>
      <c r="F86" s="1" t="s">
        <v>232</v>
      </c>
      <c r="G86" s="1" t="s">
        <v>262</v>
      </c>
      <c r="H86" s="1" t="s">
        <v>232</v>
      </c>
      <c r="I86" s="1" t="s">
        <v>232</v>
      </c>
      <c r="J86" s="1" t="s">
        <v>232</v>
      </c>
      <c r="K86" s="1" t="s">
        <v>232</v>
      </c>
      <c r="L86" s="1" t="s">
        <v>232</v>
      </c>
      <c r="M86" s="1" t="s">
        <v>232</v>
      </c>
      <c r="N86" s="1">
        <v>0.0</v>
      </c>
      <c r="O86" s="1" t="s">
        <v>232</v>
      </c>
      <c r="P86" s="1" t="s">
        <v>232</v>
      </c>
      <c r="Q86" s="1" t="s">
        <v>232</v>
      </c>
      <c r="R86" s="1">
        <v>0.0</v>
      </c>
      <c r="S86" s="1"/>
      <c r="T86" s="1">
        <v>0.0</v>
      </c>
      <c r="U86" s="1">
        <v>0.0</v>
      </c>
      <c r="V86" s="1">
        <v>0.0</v>
      </c>
      <c r="W86" s="1">
        <v>0.0</v>
      </c>
      <c r="X86" s="1">
        <v>0.0</v>
      </c>
      <c r="Y86" s="1">
        <v>0.0</v>
      </c>
      <c r="Z86" s="1" t="s">
        <v>232</v>
      </c>
      <c r="AA86" s="1">
        <v>0.0</v>
      </c>
      <c r="AB86" s="1" t="s">
        <v>232</v>
      </c>
      <c r="AC86" s="1">
        <v>0.0</v>
      </c>
      <c r="AD86" s="1">
        <v>0.0</v>
      </c>
      <c r="AE86" s="1">
        <v>0.0</v>
      </c>
      <c r="AF86" s="1">
        <v>0.0</v>
      </c>
      <c r="AG86" s="1">
        <v>0.0</v>
      </c>
      <c r="AH86" s="1">
        <v>0.0</v>
      </c>
      <c r="AI86" s="1">
        <v>0.0</v>
      </c>
      <c r="AJ86" s="1">
        <v>0.0</v>
      </c>
      <c r="AK86" s="1">
        <v>0.0</v>
      </c>
      <c r="AL86" s="1">
        <v>0.0</v>
      </c>
      <c r="AM86" s="1" t="s">
        <v>232</v>
      </c>
      <c r="AN86" s="1">
        <v>0.0</v>
      </c>
      <c r="AO86" s="1">
        <v>0.0</v>
      </c>
      <c r="AP86" s="1">
        <v>0.0</v>
      </c>
      <c r="AQ86" s="1">
        <v>0.0</v>
      </c>
      <c r="AR86" s="1" t="s">
        <v>232</v>
      </c>
      <c r="AS86" s="1">
        <v>0.0</v>
      </c>
      <c r="AT86" s="1">
        <v>0.0</v>
      </c>
      <c r="AU86" s="1">
        <v>0.0</v>
      </c>
      <c r="AV86" s="1">
        <v>0.0</v>
      </c>
      <c r="AW86" s="1">
        <v>0.0</v>
      </c>
      <c r="AX86" s="1">
        <v>0.0</v>
      </c>
      <c r="AY86" s="1">
        <v>0.0</v>
      </c>
      <c r="AZ86" s="1">
        <v>0.0</v>
      </c>
      <c r="BA86" s="1">
        <v>0.0</v>
      </c>
      <c r="BB86" s="1">
        <v>0.0</v>
      </c>
      <c r="BC86" s="2" t="s">
        <v>232</v>
      </c>
      <c r="BD86" s="2" t="s">
        <v>232</v>
      </c>
      <c r="BE86" s="2" t="s">
        <v>232</v>
      </c>
      <c r="BF86" s="2" t="s">
        <v>232</v>
      </c>
      <c r="BG86" s="2" t="s">
        <v>232</v>
      </c>
      <c r="BH86" s="2" t="s">
        <v>232</v>
      </c>
      <c r="BI86" s="2" t="s">
        <v>232</v>
      </c>
      <c r="BJ86" s="2" t="s">
        <v>232</v>
      </c>
      <c r="BK86" s="2" t="s">
        <v>232</v>
      </c>
      <c r="BL86" s="2" t="s">
        <v>232</v>
      </c>
      <c r="BM86" s="2" t="s">
        <v>232</v>
      </c>
      <c r="BN86" s="2" t="s">
        <v>232</v>
      </c>
      <c r="BO86" s="2" t="s">
        <v>232</v>
      </c>
      <c r="BP86" s="2" t="s">
        <v>232</v>
      </c>
    </row>
    <row r="87" ht="15.75" customHeight="1">
      <c r="A87" s="4" t="s">
        <v>297</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row>
    <row r="88" ht="15.75" customHeight="1">
      <c r="A88" s="11" t="s">
        <v>298</v>
      </c>
      <c r="B88" s="1">
        <v>133.0</v>
      </c>
      <c r="C88" s="1">
        <v>130.0</v>
      </c>
      <c r="D88" s="1"/>
      <c r="E88" s="1">
        <v>137.0</v>
      </c>
      <c r="F88" s="1">
        <v>137.0</v>
      </c>
      <c r="G88" s="1">
        <v>134.0</v>
      </c>
      <c r="H88" s="1">
        <v>135.0</v>
      </c>
      <c r="I88" s="1">
        <v>138.0</v>
      </c>
      <c r="J88" s="1">
        <v>135.0</v>
      </c>
      <c r="K88" s="1">
        <v>139.0</v>
      </c>
      <c r="L88" s="1">
        <v>130.0</v>
      </c>
      <c r="M88" s="1">
        <v>128.0</v>
      </c>
      <c r="N88" s="1">
        <v>137.0</v>
      </c>
      <c r="O88" s="1">
        <v>140.0</v>
      </c>
      <c r="P88" s="1">
        <v>133.0</v>
      </c>
      <c r="Q88" s="1">
        <v>133.0</v>
      </c>
      <c r="R88" s="1">
        <v>139.0</v>
      </c>
      <c r="S88" s="1"/>
      <c r="T88" s="1">
        <v>136.0</v>
      </c>
      <c r="U88" s="1">
        <v>131.0</v>
      </c>
      <c r="V88" s="1">
        <v>135.0</v>
      </c>
      <c r="W88" s="1">
        <v>134.0</v>
      </c>
      <c r="X88" s="1">
        <v>144.0</v>
      </c>
      <c r="Y88" s="1">
        <v>137.0</v>
      </c>
      <c r="Z88" s="1">
        <v>138.0</v>
      </c>
      <c r="AA88" s="1">
        <v>134.0</v>
      </c>
      <c r="AB88" s="1">
        <v>133.0</v>
      </c>
      <c r="AC88" s="1">
        <v>135.0</v>
      </c>
      <c r="AD88" s="1">
        <v>141.0</v>
      </c>
      <c r="AE88" s="1">
        <v>124.0</v>
      </c>
      <c r="AF88" s="1">
        <v>132.0</v>
      </c>
      <c r="AG88" s="1">
        <v>137.0</v>
      </c>
      <c r="AH88" s="1">
        <v>130.0</v>
      </c>
      <c r="AI88" s="1">
        <v>133.0</v>
      </c>
      <c r="AJ88" s="1">
        <v>126.0</v>
      </c>
      <c r="AK88" s="1">
        <v>136.0</v>
      </c>
      <c r="AL88" s="1">
        <v>135.0</v>
      </c>
      <c r="AM88" s="1">
        <v>135.0</v>
      </c>
      <c r="AN88" s="1">
        <v>144.0</v>
      </c>
      <c r="AO88" s="1">
        <v>126.0</v>
      </c>
      <c r="AP88" s="1">
        <v>140.0</v>
      </c>
      <c r="AQ88" s="1">
        <v>129.0</v>
      </c>
      <c r="AR88" s="1">
        <v>138.0</v>
      </c>
      <c r="AS88" s="1">
        <v>137.0</v>
      </c>
      <c r="AT88" s="1">
        <v>141.0</v>
      </c>
      <c r="AU88" s="2">
        <v>135.0</v>
      </c>
      <c r="AV88" s="1">
        <v>136.0</v>
      </c>
      <c r="AW88" s="1">
        <v>125.0</v>
      </c>
      <c r="AX88" s="1">
        <v>136.0</v>
      </c>
      <c r="AY88" s="1">
        <v>130.0</v>
      </c>
      <c r="AZ88" s="1">
        <v>133.0</v>
      </c>
      <c r="BA88" s="1">
        <v>125.0</v>
      </c>
      <c r="BB88" s="1">
        <v>135.0</v>
      </c>
      <c r="BC88" s="2">
        <v>138.0</v>
      </c>
      <c r="BD88" s="2">
        <v>132.0</v>
      </c>
      <c r="BE88" s="2">
        <v>138.0</v>
      </c>
      <c r="BF88" s="2">
        <v>139.0</v>
      </c>
      <c r="BG88" s="2">
        <v>136.0</v>
      </c>
      <c r="BH88" s="2">
        <v>134.0</v>
      </c>
      <c r="BI88" s="2">
        <v>134.0</v>
      </c>
      <c r="BJ88" s="2">
        <v>142.0</v>
      </c>
      <c r="BK88" s="2">
        <v>140.0</v>
      </c>
      <c r="BL88" s="2">
        <v>132.0</v>
      </c>
      <c r="BM88" s="2">
        <v>134.0</v>
      </c>
      <c r="BN88" s="2">
        <v>136.0</v>
      </c>
      <c r="BO88" s="2">
        <v>139.0</v>
      </c>
      <c r="BP88" s="2">
        <v>138.0</v>
      </c>
    </row>
    <row r="89" ht="15.75" customHeight="1">
      <c r="A89" s="11" t="s">
        <v>299</v>
      </c>
      <c r="B89" s="1">
        <v>4.4</v>
      </c>
      <c r="C89" s="1">
        <v>4.2</v>
      </c>
      <c r="D89" s="1"/>
      <c r="E89" s="1">
        <v>4.2</v>
      </c>
      <c r="F89" s="1">
        <v>4.2</v>
      </c>
      <c r="G89" s="1">
        <v>4.0</v>
      </c>
      <c r="H89" s="1">
        <v>3.8</v>
      </c>
      <c r="I89" s="1">
        <v>4.6</v>
      </c>
      <c r="J89" s="1">
        <v>3.9</v>
      </c>
      <c r="K89" s="1">
        <v>4.6</v>
      </c>
      <c r="L89" s="1">
        <v>4.7</v>
      </c>
      <c r="M89" s="1">
        <v>2.7</v>
      </c>
      <c r="N89" s="1">
        <v>4.8</v>
      </c>
      <c r="O89" s="1">
        <v>3.6</v>
      </c>
      <c r="P89" s="1">
        <v>4.6</v>
      </c>
      <c r="Q89" s="1">
        <v>3.5</v>
      </c>
      <c r="R89" s="1">
        <v>4.2</v>
      </c>
      <c r="S89" s="1"/>
      <c r="T89" s="1">
        <v>5.2</v>
      </c>
      <c r="U89" s="1">
        <v>4.8</v>
      </c>
      <c r="V89" s="1">
        <v>4.1</v>
      </c>
      <c r="W89" s="1">
        <v>3.9</v>
      </c>
      <c r="X89" s="1">
        <v>4.1</v>
      </c>
      <c r="Y89" s="1">
        <v>4.8</v>
      </c>
      <c r="Z89" s="1">
        <v>4.6</v>
      </c>
      <c r="AA89" s="1">
        <v>4.2</v>
      </c>
      <c r="AB89" s="1">
        <v>4.0</v>
      </c>
      <c r="AC89" s="1">
        <v>5.1</v>
      </c>
      <c r="AD89" s="1">
        <v>4.0</v>
      </c>
      <c r="AE89" s="1">
        <v>4.2</v>
      </c>
      <c r="AF89" s="1">
        <v>4.2</v>
      </c>
      <c r="AG89" s="1">
        <v>4.3</v>
      </c>
      <c r="AH89" s="1">
        <v>5.3</v>
      </c>
      <c r="AI89" s="1">
        <v>4.3</v>
      </c>
      <c r="AJ89" s="1">
        <v>4.2</v>
      </c>
      <c r="AK89" s="1">
        <v>4.2</v>
      </c>
      <c r="AL89" s="1">
        <v>3.6</v>
      </c>
      <c r="AM89" s="1">
        <v>4.8</v>
      </c>
      <c r="AN89" s="1">
        <v>3.4</v>
      </c>
      <c r="AO89" s="1">
        <v>4.9</v>
      </c>
      <c r="AP89" s="1">
        <v>4.2</v>
      </c>
      <c r="AQ89" s="1">
        <v>5.0</v>
      </c>
      <c r="AR89" s="1">
        <v>4.1</v>
      </c>
      <c r="AS89" s="1">
        <v>3.7</v>
      </c>
      <c r="AT89" s="1">
        <v>3.5</v>
      </c>
      <c r="AU89" s="2">
        <v>4.4</v>
      </c>
      <c r="AV89" s="1">
        <v>5.1</v>
      </c>
      <c r="AW89" s="1">
        <v>4.7</v>
      </c>
      <c r="AX89" s="1">
        <v>5.2</v>
      </c>
      <c r="AY89" s="1">
        <v>4.4</v>
      </c>
      <c r="AZ89" s="1">
        <v>4.5</v>
      </c>
      <c r="BA89" s="1">
        <v>3.8</v>
      </c>
      <c r="BB89" s="1">
        <v>3.3</v>
      </c>
      <c r="BC89" s="2">
        <v>4.3</v>
      </c>
      <c r="BD89" s="2">
        <v>4.7</v>
      </c>
      <c r="BE89" s="2">
        <v>4.7</v>
      </c>
      <c r="BF89" s="2">
        <v>4.2</v>
      </c>
      <c r="BG89" s="2">
        <v>4.5</v>
      </c>
      <c r="BH89" s="2">
        <v>3.8</v>
      </c>
      <c r="BI89" s="2">
        <v>4.1</v>
      </c>
      <c r="BJ89" s="2">
        <v>4.0</v>
      </c>
      <c r="BK89" s="2">
        <v>4.2</v>
      </c>
      <c r="BL89" s="2">
        <v>3.0</v>
      </c>
      <c r="BM89" s="2">
        <v>4.0</v>
      </c>
      <c r="BN89" s="2">
        <v>4.8</v>
      </c>
      <c r="BO89" s="2">
        <v>4.1</v>
      </c>
      <c r="BP89" s="2">
        <v>4.2</v>
      </c>
    </row>
    <row r="90" ht="15.75" customHeight="1">
      <c r="A90" s="11" t="s">
        <v>300</v>
      </c>
      <c r="B90" s="1">
        <v>21.0</v>
      </c>
      <c r="C90" s="1">
        <v>23.0</v>
      </c>
      <c r="D90" s="1"/>
      <c r="E90" s="1">
        <v>29.0</v>
      </c>
      <c r="F90" s="1">
        <v>25.0</v>
      </c>
      <c r="G90" s="1">
        <v>23.0</v>
      </c>
      <c r="H90" s="1">
        <v>24.0</v>
      </c>
      <c r="I90" s="1">
        <v>23.0</v>
      </c>
      <c r="J90" s="1">
        <v>23.0</v>
      </c>
      <c r="K90" s="1">
        <v>22.0</v>
      </c>
      <c r="L90" s="1">
        <v>25.0</v>
      </c>
      <c r="M90" s="1">
        <v>27.0</v>
      </c>
      <c r="N90" s="1">
        <v>19.0</v>
      </c>
      <c r="O90" s="1">
        <v>29.0</v>
      </c>
      <c r="P90" s="1">
        <v>25.0</v>
      </c>
      <c r="Q90" s="1">
        <v>23.0</v>
      </c>
      <c r="R90" s="1">
        <v>22.0</v>
      </c>
      <c r="S90" s="1"/>
      <c r="T90" s="1">
        <v>20.0</v>
      </c>
      <c r="U90" s="1">
        <v>23.0</v>
      </c>
      <c r="V90" s="1">
        <v>21.0</v>
      </c>
      <c r="W90" s="1">
        <v>24.0</v>
      </c>
      <c r="X90" s="1">
        <v>31.0</v>
      </c>
      <c r="Y90" s="1">
        <v>24.0</v>
      </c>
      <c r="Z90" s="1">
        <v>20.0</v>
      </c>
      <c r="AA90" s="1">
        <v>28.0</v>
      </c>
      <c r="AB90" s="1">
        <v>26.0</v>
      </c>
      <c r="AC90" s="1">
        <v>23.0</v>
      </c>
      <c r="AD90" s="1">
        <v>29.0</v>
      </c>
      <c r="AE90" s="1">
        <v>27.0</v>
      </c>
      <c r="AF90" s="1">
        <v>31.0</v>
      </c>
      <c r="AG90" s="1">
        <v>28.0</v>
      </c>
      <c r="AH90" s="1">
        <v>19.0</v>
      </c>
      <c r="AI90" s="1">
        <v>17.0</v>
      </c>
      <c r="AJ90" s="1">
        <v>21.0</v>
      </c>
      <c r="AK90" s="1">
        <v>27.0</v>
      </c>
      <c r="AL90" s="1">
        <v>24.0</v>
      </c>
      <c r="AM90" s="1">
        <v>26.0</v>
      </c>
      <c r="AN90" s="1">
        <v>27.0</v>
      </c>
      <c r="AO90" s="1">
        <v>23.0</v>
      </c>
      <c r="AP90" s="1">
        <v>21.0</v>
      </c>
      <c r="AQ90" s="1">
        <v>19.0</v>
      </c>
      <c r="AR90" s="1">
        <v>24.0</v>
      </c>
      <c r="AS90" s="1">
        <v>21.0</v>
      </c>
      <c r="AT90" s="1">
        <v>22.0</v>
      </c>
      <c r="AU90" s="1">
        <v>15.0</v>
      </c>
      <c r="AV90" s="1">
        <v>22.0</v>
      </c>
      <c r="AW90" s="1">
        <v>23.0</v>
      </c>
      <c r="AX90" s="1">
        <v>22.0</v>
      </c>
      <c r="AY90" s="1">
        <v>20.0</v>
      </c>
      <c r="AZ90" s="1">
        <v>23.0</v>
      </c>
      <c r="BA90" s="1">
        <v>18.0</v>
      </c>
      <c r="BB90" s="1">
        <v>20.0</v>
      </c>
      <c r="BC90" s="2">
        <v>20.0</v>
      </c>
      <c r="BD90" s="2">
        <v>22.0</v>
      </c>
      <c r="BE90" s="2">
        <v>19.0</v>
      </c>
      <c r="BF90" s="2">
        <v>26.0</v>
      </c>
      <c r="BG90" s="2">
        <v>26.0</v>
      </c>
      <c r="BH90" s="2">
        <v>23.0</v>
      </c>
      <c r="BI90" s="2">
        <v>24.0</v>
      </c>
      <c r="BJ90" s="2">
        <v>25.0</v>
      </c>
      <c r="BK90" s="2">
        <v>27.0</v>
      </c>
      <c r="BL90" s="2">
        <v>26.0</v>
      </c>
      <c r="BM90" s="2">
        <v>24.0</v>
      </c>
      <c r="BN90" s="2">
        <v>22.0</v>
      </c>
      <c r="BO90" s="2">
        <v>18.0</v>
      </c>
      <c r="BP90" s="2">
        <v>32.0</v>
      </c>
    </row>
    <row r="91" ht="15.75" customHeight="1">
      <c r="A91" s="11" t="s">
        <v>301</v>
      </c>
      <c r="B91" s="1">
        <v>2.5</v>
      </c>
      <c r="C91" s="1">
        <v>1.1</v>
      </c>
      <c r="D91" s="1"/>
      <c r="E91" s="1">
        <v>4.9</v>
      </c>
      <c r="F91" s="1">
        <v>0.7</v>
      </c>
      <c r="G91" s="1">
        <v>0.9</v>
      </c>
      <c r="H91" s="1">
        <v>1.3</v>
      </c>
      <c r="I91" s="1">
        <v>1.1</v>
      </c>
      <c r="J91" s="1">
        <v>2.2</v>
      </c>
      <c r="K91" s="1">
        <v>1.4</v>
      </c>
      <c r="L91" s="1">
        <v>1.2</v>
      </c>
      <c r="M91" s="1">
        <v>1.5</v>
      </c>
      <c r="N91" s="1">
        <v>1.5</v>
      </c>
      <c r="O91" s="1">
        <v>1.2</v>
      </c>
      <c r="P91" s="1">
        <v>0.9</v>
      </c>
      <c r="Q91" s="1">
        <v>1.5</v>
      </c>
      <c r="R91" s="1">
        <v>1.0</v>
      </c>
      <c r="S91" s="1"/>
      <c r="T91" s="1">
        <v>1.6</v>
      </c>
      <c r="U91" s="1">
        <v>1.7</v>
      </c>
      <c r="V91" s="1">
        <v>1.3</v>
      </c>
      <c r="W91" s="1">
        <v>1.0</v>
      </c>
      <c r="X91" s="1">
        <v>1.7</v>
      </c>
      <c r="Y91" s="1">
        <v>2.4</v>
      </c>
      <c r="Z91" s="1">
        <v>1.5</v>
      </c>
      <c r="AA91" s="1">
        <v>1.5</v>
      </c>
      <c r="AB91" s="1">
        <v>1.3</v>
      </c>
      <c r="AC91" s="1">
        <v>1.5</v>
      </c>
      <c r="AD91" s="1">
        <v>1.1</v>
      </c>
      <c r="AE91" s="1">
        <v>2.2</v>
      </c>
      <c r="AF91" s="1">
        <v>2.2</v>
      </c>
      <c r="AG91" s="1">
        <v>1.1</v>
      </c>
      <c r="AH91" s="1">
        <v>2.8</v>
      </c>
      <c r="AI91" s="1">
        <v>1.44</v>
      </c>
      <c r="AJ91" s="1">
        <v>0.85</v>
      </c>
      <c r="AK91" s="1">
        <v>1.64</v>
      </c>
      <c r="AL91" s="1">
        <v>1.56</v>
      </c>
      <c r="AM91" s="1">
        <v>1.11</v>
      </c>
      <c r="AN91" s="1">
        <v>1.42</v>
      </c>
      <c r="AO91" s="1">
        <v>0.99</v>
      </c>
      <c r="AP91" s="1">
        <v>1.53</v>
      </c>
      <c r="AQ91" s="1">
        <v>1.12</v>
      </c>
      <c r="AR91" s="1">
        <v>0.82</v>
      </c>
      <c r="AS91" s="1">
        <v>3.24</v>
      </c>
      <c r="AT91" s="1">
        <v>1.48</v>
      </c>
      <c r="AU91" s="1">
        <v>2.04</v>
      </c>
      <c r="AV91" s="1">
        <v>0.9</v>
      </c>
      <c r="AW91" s="1">
        <v>1.72</v>
      </c>
      <c r="AX91" s="1">
        <v>5.12</v>
      </c>
      <c r="AY91" s="1">
        <v>1.38</v>
      </c>
      <c r="AZ91" s="1">
        <v>1.31</v>
      </c>
      <c r="BA91" s="1">
        <v>1.54</v>
      </c>
      <c r="BB91" s="1">
        <v>1.02</v>
      </c>
      <c r="BC91" s="2">
        <v>5.66</v>
      </c>
      <c r="BD91" s="2">
        <v>0.86</v>
      </c>
      <c r="BE91" s="2">
        <v>6.33</v>
      </c>
      <c r="BF91" s="2">
        <v>1.33</v>
      </c>
      <c r="BG91" s="2">
        <v>1.16</v>
      </c>
      <c r="BH91" s="2">
        <v>1.19</v>
      </c>
      <c r="BI91" s="2">
        <v>0.63</v>
      </c>
      <c r="BJ91" s="2">
        <v>1.59</v>
      </c>
      <c r="BK91" s="2">
        <v>0.94</v>
      </c>
      <c r="BL91" s="2">
        <v>2.49</v>
      </c>
      <c r="BM91" s="2">
        <v>0.99</v>
      </c>
      <c r="BN91" s="2">
        <v>3.64</v>
      </c>
      <c r="BO91" s="2">
        <v>0.87</v>
      </c>
      <c r="BP91" s="2">
        <v>1.13</v>
      </c>
    </row>
    <row r="92" ht="15.75" customHeight="1">
      <c r="A92" s="11" t="s">
        <v>302</v>
      </c>
      <c r="B92" s="1">
        <v>29.0</v>
      </c>
      <c r="C92" s="1">
        <v>83.0</v>
      </c>
      <c r="D92" s="1"/>
      <c r="E92" s="1">
        <v>13.0</v>
      </c>
      <c r="F92" s="1">
        <v>119.0</v>
      </c>
      <c r="G92" s="1">
        <v>87.0</v>
      </c>
      <c r="H92" s="1">
        <v>63.0</v>
      </c>
      <c r="I92" s="1">
        <v>83.0</v>
      </c>
      <c r="J92" s="1">
        <v>33.0</v>
      </c>
      <c r="K92" s="1">
        <v>59.0</v>
      </c>
      <c r="L92" s="1">
        <v>67.0</v>
      </c>
      <c r="M92" s="1">
        <v>58.0</v>
      </c>
      <c r="N92" s="1">
        <v>39.0</v>
      </c>
      <c r="O92" s="1">
        <v>51.0</v>
      </c>
      <c r="P92" s="1">
        <v>96.0</v>
      </c>
      <c r="Q92" s="1">
        <v>55.0</v>
      </c>
      <c r="R92" s="1">
        <v>85.0</v>
      </c>
      <c r="S92" s="1"/>
      <c r="T92" s="1">
        <v>36.0</v>
      </c>
      <c r="U92" s="1">
        <v>36.0</v>
      </c>
      <c r="V92" s="1">
        <v>63.0</v>
      </c>
      <c r="W92" s="1">
        <v>91.0</v>
      </c>
      <c r="X92" s="1">
        <v>34.0</v>
      </c>
      <c r="Y92" s="1">
        <v>27.0</v>
      </c>
      <c r="Z92" s="1">
        <v>55.0</v>
      </c>
      <c r="AA92" s="1">
        <v>56.0</v>
      </c>
      <c r="AB92" s="1">
        <v>60.0</v>
      </c>
      <c r="AC92" s="1">
        <v>56.0</v>
      </c>
      <c r="AD92" s="1">
        <v>55.0</v>
      </c>
      <c r="AE92" s="1">
        <v>23.0</v>
      </c>
      <c r="AF92" s="1">
        <v>34.0</v>
      </c>
      <c r="AG92" s="1">
        <v>48.0</v>
      </c>
      <c r="AH92" s="1">
        <v>24.0</v>
      </c>
      <c r="AI92" s="1">
        <v>51.0</v>
      </c>
      <c r="AJ92" s="1">
        <v>96.0</v>
      </c>
      <c r="AK92" s="1">
        <v>46.0</v>
      </c>
      <c r="AL92" s="1">
        <v>49.0</v>
      </c>
      <c r="AM92" s="1">
        <v>78.0</v>
      </c>
      <c r="AN92" s="1">
        <v>51.0</v>
      </c>
      <c r="AO92" s="1">
        <v>97.0</v>
      </c>
      <c r="AP92" s="1">
        <v>50.0</v>
      </c>
      <c r="AQ92" s="1">
        <v>71.0</v>
      </c>
      <c r="AR92" s="1">
        <v>114.0</v>
      </c>
      <c r="AS92" s="1">
        <v>21.0</v>
      </c>
      <c r="AT92" s="1">
        <v>52.0</v>
      </c>
      <c r="AU92" s="1">
        <v>26.0</v>
      </c>
      <c r="AV92" s="1">
        <v>99.0</v>
      </c>
      <c r="AW92" s="1">
        <v>32.0</v>
      </c>
      <c r="AX92" s="1">
        <v>11.0</v>
      </c>
      <c r="AY92" s="1">
        <v>41.0</v>
      </c>
      <c r="AZ92" s="1">
        <v>66.0</v>
      </c>
      <c r="BA92" s="1">
        <v>50.0</v>
      </c>
      <c r="BB92" s="1">
        <v>78.0</v>
      </c>
      <c r="BC92" s="2">
        <v>10.0</v>
      </c>
      <c r="BD92" s="2">
        <v>117.0</v>
      </c>
      <c r="BE92" s="2">
        <v>9.0</v>
      </c>
      <c r="BF92" s="2">
        <v>58.0</v>
      </c>
      <c r="BG92" s="2">
        <v>69.0</v>
      </c>
      <c r="BH92" s="2">
        <v>67.0</v>
      </c>
      <c r="BI92" s="2">
        <v>113.0</v>
      </c>
      <c r="BJ92" s="2">
        <v>48.0</v>
      </c>
      <c r="BK92" s="2">
        <v>86.0</v>
      </c>
      <c r="BL92" s="2">
        <v>30.0</v>
      </c>
      <c r="BM92" s="2">
        <v>91.0</v>
      </c>
      <c r="BN92" s="2">
        <v>17.0</v>
      </c>
      <c r="BO92" s="2">
        <v>106.0</v>
      </c>
      <c r="BP92" s="2">
        <v>88.0</v>
      </c>
    </row>
    <row r="93" ht="15.75" customHeight="1">
      <c r="A93" s="11" t="s">
        <v>303</v>
      </c>
      <c r="B93" s="1">
        <v>14.3</v>
      </c>
      <c r="C93" s="1">
        <v>11.0</v>
      </c>
      <c r="D93" s="1"/>
      <c r="E93" s="1">
        <v>10.6</v>
      </c>
      <c r="F93" s="1">
        <v>12.1</v>
      </c>
      <c r="G93" s="1">
        <v>9.8</v>
      </c>
      <c r="H93" s="1">
        <v>8.4</v>
      </c>
      <c r="I93" s="1">
        <v>16.9</v>
      </c>
      <c r="J93" s="1">
        <v>11.2</v>
      </c>
      <c r="K93" s="1">
        <v>13.3</v>
      </c>
      <c r="L93" s="1">
        <v>13.7</v>
      </c>
      <c r="M93" s="1">
        <v>10.9</v>
      </c>
      <c r="N93" s="1">
        <v>8.9</v>
      </c>
      <c r="O93" s="1">
        <v>10.1</v>
      </c>
      <c r="P93" s="1">
        <v>14.2</v>
      </c>
      <c r="Q93" s="1">
        <v>13.0</v>
      </c>
      <c r="R93" s="1">
        <v>13.5</v>
      </c>
      <c r="S93" s="1"/>
      <c r="T93" s="1">
        <v>7.8</v>
      </c>
      <c r="U93" s="1">
        <v>12.0</v>
      </c>
      <c r="V93" s="1">
        <v>9.4</v>
      </c>
      <c r="W93" s="1">
        <v>14.0</v>
      </c>
      <c r="X93" s="1">
        <v>10.8</v>
      </c>
      <c r="Y93" s="1">
        <v>12.8</v>
      </c>
      <c r="Z93" s="1">
        <v>12.9</v>
      </c>
      <c r="AA93" s="1">
        <v>14.5</v>
      </c>
      <c r="AB93" s="1">
        <v>8.9</v>
      </c>
      <c r="AC93" s="1">
        <v>11.0</v>
      </c>
      <c r="AD93" s="1">
        <v>14.9</v>
      </c>
      <c r="AE93" s="1">
        <v>11.6</v>
      </c>
      <c r="AF93" s="1">
        <v>11.3</v>
      </c>
      <c r="AG93" s="1">
        <v>9.4</v>
      </c>
      <c r="AH93" s="1">
        <v>11.4</v>
      </c>
      <c r="AI93" s="1">
        <v>12.3</v>
      </c>
      <c r="AJ93" s="1">
        <v>16.5</v>
      </c>
      <c r="AK93" s="1">
        <v>7.1</v>
      </c>
      <c r="AL93" s="1">
        <v>16.8</v>
      </c>
      <c r="AM93" s="1">
        <v>12.1</v>
      </c>
      <c r="AN93" s="1">
        <v>11.3</v>
      </c>
      <c r="AO93" s="1">
        <v>11.4</v>
      </c>
      <c r="AP93" s="1">
        <v>8.1</v>
      </c>
      <c r="AQ93" s="1">
        <v>10.1</v>
      </c>
      <c r="AR93" s="1">
        <v>12.4</v>
      </c>
      <c r="AS93" s="1">
        <v>9.4</v>
      </c>
      <c r="AT93" s="1">
        <v>17.8</v>
      </c>
      <c r="AU93" s="1">
        <v>9.2</v>
      </c>
      <c r="AV93" s="1">
        <v>11.9</v>
      </c>
      <c r="AW93" s="1">
        <v>7.7</v>
      </c>
      <c r="AX93" s="1">
        <v>7.8</v>
      </c>
      <c r="AY93" s="1">
        <v>11.9</v>
      </c>
      <c r="AZ93" s="1">
        <v>12.5</v>
      </c>
      <c r="BA93" s="1">
        <v>11.1</v>
      </c>
      <c r="BB93" s="1">
        <v>14.4</v>
      </c>
      <c r="BC93" s="2">
        <v>10.0</v>
      </c>
      <c r="BD93" s="2">
        <v>14.3</v>
      </c>
      <c r="BE93" s="2">
        <v>10.3</v>
      </c>
      <c r="BF93" s="2">
        <v>10.6</v>
      </c>
      <c r="BG93" s="2">
        <v>10.7</v>
      </c>
      <c r="BH93" s="2">
        <v>12.5</v>
      </c>
      <c r="BI93" s="2">
        <v>12.6</v>
      </c>
      <c r="BJ93" s="2">
        <v>14.0</v>
      </c>
      <c r="BK93" s="2">
        <v>14.7</v>
      </c>
      <c r="BL93" s="2">
        <v>12.2</v>
      </c>
      <c r="BM93" s="2">
        <v>13.1</v>
      </c>
      <c r="BN93" s="2">
        <v>11.5</v>
      </c>
      <c r="BO93" s="2">
        <v>11.7</v>
      </c>
      <c r="BP93" s="2">
        <v>11.3</v>
      </c>
    </row>
    <row r="94" ht="15.75" customHeight="1">
      <c r="A94" s="11" t="s">
        <v>304</v>
      </c>
      <c r="B94" s="1">
        <v>5.27</v>
      </c>
      <c r="C94" s="1">
        <v>4.9</v>
      </c>
      <c r="D94" s="1"/>
      <c r="E94" s="1">
        <v>6.86</v>
      </c>
      <c r="F94" s="1">
        <v>8.3</v>
      </c>
      <c r="G94" s="1">
        <v>9.8</v>
      </c>
      <c r="H94" s="1">
        <v>6.0</v>
      </c>
      <c r="I94" s="1">
        <v>13.38</v>
      </c>
      <c r="J94" s="1">
        <v>5.16</v>
      </c>
      <c r="K94" s="1">
        <v>8.96</v>
      </c>
      <c r="L94" s="1">
        <v>7.03</v>
      </c>
      <c r="M94" s="1">
        <v>6.04</v>
      </c>
      <c r="N94" s="1">
        <v>7.65</v>
      </c>
      <c r="O94" s="1">
        <v>6.38</v>
      </c>
      <c r="P94" s="1">
        <v>7.36</v>
      </c>
      <c r="Q94" s="1">
        <v>6.48</v>
      </c>
      <c r="R94" s="1">
        <v>3.96</v>
      </c>
      <c r="S94" s="1"/>
      <c r="T94" s="1">
        <v>11.18</v>
      </c>
      <c r="U94" s="1">
        <v>6.93</v>
      </c>
      <c r="V94" s="1">
        <v>6.85</v>
      </c>
      <c r="W94" s="1">
        <v>8.6</v>
      </c>
      <c r="X94" s="1">
        <v>9.74</v>
      </c>
      <c r="Y94" s="1">
        <v>7.0</v>
      </c>
      <c r="Z94" s="1">
        <v>5.54</v>
      </c>
      <c r="AA94" s="1">
        <v>8.79</v>
      </c>
      <c r="AB94" s="1">
        <v>9.86</v>
      </c>
      <c r="AC94" s="1">
        <v>3.37</v>
      </c>
      <c r="AD94" s="1">
        <v>9.5</v>
      </c>
      <c r="AE94" s="1">
        <v>7.2</v>
      </c>
      <c r="AF94" s="1">
        <v>9.8</v>
      </c>
      <c r="AG94" s="1">
        <v>9.5</v>
      </c>
      <c r="AH94" s="1">
        <v>5.9</v>
      </c>
      <c r="AI94" s="1">
        <v>6.67</v>
      </c>
      <c r="AJ94" s="1">
        <v>28.85</v>
      </c>
      <c r="AK94" s="1">
        <v>4.69</v>
      </c>
      <c r="AL94" s="1">
        <v>8.25</v>
      </c>
      <c r="AM94" s="1">
        <v>6.14</v>
      </c>
      <c r="AN94" s="1">
        <v>6.42</v>
      </c>
      <c r="AO94" s="1">
        <v>12.47</v>
      </c>
      <c r="AP94" s="1">
        <v>5.57</v>
      </c>
      <c r="AQ94" s="1">
        <v>6.95</v>
      </c>
      <c r="AR94" s="1">
        <v>7.79</v>
      </c>
      <c r="AS94" s="1">
        <v>3.66</v>
      </c>
      <c r="AT94" s="1">
        <v>6.52</v>
      </c>
      <c r="AU94" s="1">
        <v>22.95</v>
      </c>
      <c r="AV94" s="1">
        <v>15.26</v>
      </c>
      <c r="AW94" s="1">
        <v>4.97</v>
      </c>
      <c r="AX94" s="1">
        <v>6.79</v>
      </c>
      <c r="AY94" s="1">
        <v>5.45</v>
      </c>
      <c r="AZ94" s="1">
        <v>7.39</v>
      </c>
      <c r="BA94" s="1">
        <v>11.68</v>
      </c>
      <c r="BB94" s="1">
        <v>8.67</v>
      </c>
      <c r="BC94" s="2">
        <v>5.3</v>
      </c>
      <c r="BD94" s="2">
        <v>8.51</v>
      </c>
      <c r="BE94" s="2">
        <v>9.52</v>
      </c>
      <c r="BF94" s="2">
        <v>4.87</v>
      </c>
      <c r="BG94" s="2">
        <v>6.75</v>
      </c>
      <c r="BH94" s="2">
        <v>7.84</v>
      </c>
      <c r="BI94" s="2">
        <v>7.13</v>
      </c>
      <c r="BJ94" s="2">
        <v>3.29</v>
      </c>
      <c r="BK94" s="2">
        <v>6.51</v>
      </c>
      <c r="BL94" s="2">
        <v>4.41</v>
      </c>
      <c r="BM94" s="2">
        <v>7.02</v>
      </c>
      <c r="BN94" s="2">
        <v>6.24</v>
      </c>
      <c r="BO94" s="2">
        <v>5.72</v>
      </c>
      <c r="BP94" s="2">
        <v>7.24</v>
      </c>
    </row>
    <row r="95" ht="15.75" customHeight="1">
      <c r="A95" s="11" t="s">
        <v>305</v>
      </c>
      <c r="B95" s="1">
        <v>20.0</v>
      </c>
      <c r="C95" s="1">
        <v>14.0</v>
      </c>
      <c r="D95" s="1"/>
      <c r="E95" s="1">
        <v>34.0</v>
      </c>
      <c r="F95" s="1">
        <v>18.0</v>
      </c>
      <c r="G95" s="1">
        <v>29.0</v>
      </c>
      <c r="H95" s="1">
        <v>20.0</v>
      </c>
      <c r="I95" s="1">
        <v>20.0</v>
      </c>
      <c r="J95" s="1">
        <v>17.0</v>
      </c>
      <c r="K95" s="1">
        <v>18.0</v>
      </c>
      <c r="L95" s="1">
        <v>24.0</v>
      </c>
      <c r="M95" s="1">
        <v>87.0</v>
      </c>
      <c r="N95" s="1">
        <v>25.0</v>
      </c>
      <c r="O95" s="1">
        <v>17.0</v>
      </c>
      <c r="P95" s="1">
        <v>34.0</v>
      </c>
      <c r="Q95" s="1">
        <v>23.0</v>
      </c>
      <c r="R95" s="1">
        <v>12.0</v>
      </c>
      <c r="S95" s="1"/>
      <c r="T95" s="1">
        <v>29.0</v>
      </c>
      <c r="U95" s="1">
        <v>153.0</v>
      </c>
      <c r="V95" s="1">
        <v>26.0</v>
      </c>
      <c r="W95" s="1">
        <v>15.0</v>
      </c>
      <c r="X95" s="1">
        <v>71.0</v>
      </c>
      <c r="Y95" s="1">
        <v>16.0</v>
      </c>
      <c r="Z95" s="1">
        <v>31.0</v>
      </c>
      <c r="AA95" s="1">
        <v>27.0</v>
      </c>
      <c r="AB95" s="1">
        <v>169.0</v>
      </c>
      <c r="AC95" s="1">
        <v>49.0</v>
      </c>
      <c r="AD95" s="1">
        <v>27.0</v>
      </c>
      <c r="AE95" s="1">
        <v>32.0</v>
      </c>
      <c r="AF95" s="1">
        <v>125.0</v>
      </c>
      <c r="AG95" s="1">
        <v>32.0</v>
      </c>
      <c r="AH95" s="1">
        <v>22.0</v>
      </c>
      <c r="AI95" s="1">
        <v>21.0</v>
      </c>
      <c r="AJ95" s="1">
        <v>1404.0</v>
      </c>
      <c r="AK95" s="1">
        <v>33.0</v>
      </c>
      <c r="AL95" s="1">
        <v>24.0</v>
      </c>
      <c r="AM95" s="1">
        <v>28.0</v>
      </c>
      <c r="AN95" s="1">
        <v>27.0</v>
      </c>
      <c r="AO95" s="1">
        <v>22.0</v>
      </c>
      <c r="AP95" s="1">
        <v>25.0</v>
      </c>
      <c r="AQ95" s="1">
        <v>46.0</v>
      </c>
      <c r="AR95" s="1">
        <v>82.0</v>
      </c>
      <c r="AS95" s="1">
        <v>11.0</v>
      </c>
      <c r="AT95" s="1">
        <v>42.0</v>
      </c>
      <c r="AU95" s="1">
        <v>4026.0</v>
      </c>
      <c r="AV95" s="1">
        <v>28.0</v>
      </c>
      <c r="AW95" s="1">
        <v>30.0</v>
      </c>
      <c r="AX95" s="1">
        <v>23.0</v>
      </c>
      <c r="AY95" s="1">
        <v>24.0</v>
      </c>
      <c r="AZ95" s="1">
        <v>29.0</v>
      </c>
      <c r="BA95" s="1">
        <v>1783.0</v>
      </c>
      <c r="BB95" s="1">
        <v>1491.0</v>
      </c>
      <c r="BC95" s="2">
        <v>25.0</v>
      </c>
      <c r="BD95" s="2">
        <v>41.0</v>
      </c>
      <c r="BE95" s="2">
        <v>56.0</v>
      </c>
      <c r="BF95" s="2">
        <v>22.0</v>
      </c>
      <c r="BG95" s="2">
        <v>21.0</v>
      </c>
      <c r="BH95" s="2">
        <v>20.0</v>
      </c>
      <c r="BI95" s="2">
        <v>20.0</v>
      </c>
      <c r="BJ95" s="2">
        <v>44.0</v>
      </c>
      <c r="BK95" s="2">
        <v>19.0</v>
      </c>
      <c r="BL95" s="2">
        <v>24.0</v>
      </c>
      <c r="BN95" s="2">
        <v>40.0</v>
      </c>
      <c r="BO95" s="2">
        <v>14.0</v>
      </c>
      <c r="BP95" s="2">
        <v>61.0</v>
      </c>
    </row>
    <row r="96" ht="15.75" customHeight="1">
      <c r="A96" s="11" t="s">
        <v>306</v>
      </c>
      <c r="B96" s="1">
        <v>12.0</v>
      </c>
      <c r="C96" s="1">
        <v>15.0</v>
      </c>
      <c r="D96" s="1"/>
      <c r="E96" s="1">
        <v>28.0</v>
      </c>
      <c r="F96" s="1">
        <v>22.0</v>
      </c>
      <c r="G96" s="1">
        <v>44.0</v>
      </c>
      <c r="H96" s="1">
        <v>12.0</v>
      </c>
      <c r="I96" s="1">
        <v>21.0</v>
      </c>
      <c r="J96" s="1">
        <v>32.0</v>
      </c>
      <c r="K96" s="1">
        <v>16.0</v>
      </c>
      <c r="L96" s="1">
        <v>85.0</v>
      </c>
      <c r="M96" s="1">
        <v>47.0</v>
      </c>
      <c r="N96" s="1">
        <v>22.0</v>
      </c>
      <c r="O96" s="1">
        <v>10.0</v>
      </c>
      <c r="P96" s="1">
        <v>47.0</v>
      </c>
      <c r="Q96" s="1">
        <v>21.0</v>
      </c>
      <c r="R96" s="1">
        <v>33.0</v>
      </c>
      <c r="S96" s="1"/>
      <c r="T96" s="1">
        <v>36.0</v>
      </c>
      <c r="U96" s="1">
        <v>206.0</v>
      </c>
      <c r="V96" s="1">
        <v>16.0</v>
      </c>
      <c r="W96" s="1">
        <v>13.0</v>
      </c>
      <c r="X96" s="1">
        <v>119.0</v>
      </c>
      <c r="Y96" s="1">
        <v>19.0</v>
      </c>
      <c r="Z96" s="1">
        <v>42.0</v>
      </c>
      <c r="AA96" s="1">
        <v>41.0</v>
      </c>
      <c r="AB96" s="1">
        <v>718.0</v>
      </c>
      <c r="AC96" s="1">
        <v>207.0</v>
      </c>
      <c r="AD96" s="1">
        <v>33.0</v>
      </c>
      <c r="AE96" s="1">
        <v>20.0</v>
      </c>
      <c r="AF96" s="1">
        <v>161.0</v>
      </c>
      <c r="AG96" s="1">
        <v>8.0</v>
      </c>
      <c r="AH96" s="1">
        <v>29.0</v>
      </c>
      <c r="AI96" s="1">
        <v>19.0</v>
      </c>
      <c r="AJ96" s="1">
        <v>215.0</v>
      </c>
      <c r="AK96" s="1">
        <v>47.0</v>
      </c>
      <c r="AL96" s="1">
        <v>40.0</v>
      </c>
      <c r="AM96" s="1">
        <v>40.0</v>
      </c>
      <c r="AN96" s="1">
        <v>28.0</v>
      </c>
      <c r="AO96" s="1">
        <v>23.0</v>
      </c>
      <c r="AP96" s="1">
        <v>23.0</v>
      </c>
      <c r="AQ96" s="1">
        <v>46.0</v>
      </c>
      <c r="AR96" s="1">
        <v>117.0</v>
      </c>
      <c r="AS96" s="1">
        <v>7.0</v>
      </c>
      <c r="AT96" s="1">
        <v>37.0</v>
      </c>
      <c r="AU96" s="1">
        <v>2143.0</v>
      </c>
      <c r="AV96" s="1">
        <v>36.0</v>
      </c>
      <c r="AW96" s="1">
        <v>17.0</v>
      </c>
      <c r="AX96" s="1">
        <v>9.0</v>
      </c>
      <c r="AY96" s="1">
        <v>24.0</v>
      </c>
      <c r="AZ96" s="1">
        <v>36.0</v>
      </c>
      <c r="BA96" s="1">
        <v>1493.0</v>
      </c>
      <c r="BB96" s="1">
        <v>1474.0</v>
      </c>
      <c r="BC96" s="2">
        <v>44.0</v>
      </c>
      <c r="BD96" s="2">
        <v>62.0</v>
      </c>
      <c r="BE96" s="2">
        <v>40.0</v>
      </c>
      <c r="BF96" s="2">
        <v>7.0</v>
      </c>
      <c r="BG96" s="2">
        <v>17.0</v>
      </c>
      <c r="BH96" s="2">
        <v>34.0</v>
      </c>
      <c r="BI96" s="2">
        <v>12.0</v>
      </c>
      <c r="BJ96" s="2">
        <v>52.0</v>
      </c>
      <c r="BK96" s="2">
        <v>19.0</v>
      </c>
      <c r="BL96" s="2">
        <v>15.0</v>
      </c>
      <c r="BN96" s="2">
        <v>23.0</v>
      </c>
      <c r="BO96" s="2">
        <v>12.0</v>
      </c>
      <c r="BP96" s="2">
        <v>11.0</v>
      </c>
    </row>
    <row r="97" ht="15.75" customHeight="1">
      <c r="A97" s="11" t="s">
        <v>307</v>
      </c>
      <c r="B97" s="1">
        <v>1.6</v>
      </c>
      <c r="C97" s="1">
        <v>3.3</v>
      </c>
      <c r="D97" s="1"/>
      <c r="E97" s="1">
        <v>0.6</v>
      </c>
      <c r="F97" s="1">
        <v>1.3</v>
      </c>
      <c r="G97" s="1">
        <v>0.2</v>
      </c>
      <c r="H97" s="1">
        <v>1.1</v>
      </c>
      <c r="I97" s="1">
        <v>1.8</v>
      </c>
      <c r="J97" s="1">
        <v>1.5</v>
      </c>
      <c r="K97" s="1">
        <v>0.7</v>
      </c>
      <c r="L97" s="1">
        <v>1.5</v>
      </c>
      <c r="M97" s="1">
        <v>2.1</v>
      </c>
      <c r="N97" s="1">
        <v>1.4</v>
      </c>
      <c r="O97" s="1">
        <v>0.9</v>
      </c>
      <c r="P97" s="1">
        <v>1.8</v>
      </c>
      <c r="Q97" s="1">
        <v>1.5</v>
      </c>
      <c r="R97" s="1">
        <v>0.5</v>
      </c>
      <c r="S97" s="1"/>
      <c r="T97" s="1">
        <v>0.5</v>
      </c>
      <c r="U97" s="1">
        <v>1.7</v>
      </c>
      <c r="V97" s="1">
        <v>1.6</v>
      </c>
      <c r="W97" s="1">
        <v>6.4</v>
      </c>
      <c r="X97" s="1">
        <v>1.2</v>
      </c>
      <c r="Y97" s="1">
        <v>1.2</v>
      </c>
      <c r="Z97" s="1">
        <v>0.9</v>
      </c>
      <c r="AA97" s="1">
        <v>0.7</v>
      </c>
      <c r="AB97" s="1">
        <v>0.6</v>
      </c>
      <c r="AC97" s="1">
        <v>0.8</v>
      </c>
      <c r="AD97" s="1">
        <v>0.9</v>
      </c>
      <c r="AE97" s="1">
        <v>2.0</v>
      </c>
      <c r="AF97" s="1">
        <v>1.0</v>
      </c>
      <c r="AG97" s="1">
        <v>0.6</v>
      </c>
      <c r="AH97" s="1">
        <v>0.5</v>
      </c>
      <c r="AI97" s="1">
        <v>0.7</v>
      </c>
      <c r="AJ97" s="1">
        <v>1.6</v>
      </c>
      <c r="AK97" s="1">
        <v>0.3</v>
      </c>
      <c r="AL97" s="1">
        <v>1.7</v>
      </c>
      <c r="AM97" s="1">
        <v>1.1</v>
      </c>
      <c r="AN97" s="1">
        <v>4.0</v>
      </c>
      <c r="AO97" s="1">
        <v>0.9</v>
      </c>
      <c r="AP97" s="1">
        <v>0.2</v>
      </c>
      <c r="AQ97" s="1">
        <v>1.5</v>
      </c>
      <c r="AR97" s="1">
        <v>1.0</v>
      </c>
      <c r="AS97" s="1">
        <v>0.9</v>
      </c>
      <c r="AT97" s="1">
        <v>1.6</v>
      </c>
      <c r="AU97" s="1">
        <v>1.2</v>
      </c>
      <c r="AV97" s="1">
        <v>1.2</v>
      </c>
      <c r="AW97" s="1">
        <v>0.5</v>
      </c>
      <c r="AX97" s="1">
        <v>0.4</v>
      </c>
      <c r="AY97" s="1">
        <v>0.8</v>
      </c>
      <c r="AZ97" s="1">
        <v>1.3</v>
      </c>
      <c r="BA97" s="1">
        <v>1.9</v>
      </c>
      <c r="BB97" s="1">
        <v>1.0</v>
      </c>
      <c r="BC97" s="2">
        <v>0.5</v>
      </c>
      <c r="BD97" s="2">
        <v>0.5</v>
      </c>
      <c r="BE97" s="2">
        <v>0.7</v>
      </c>
      <c r="BF97" s="2">
        <v>2.0</v>
      </c>
      <c r="BG97" s="2">
        <v>2.0</v>
      </c>
      <c r="BH97" s="2">
        <v>1.4</v>
      </c>
      <c r="BI97" s="2">
        <v>0.6</v>
      </c>
      <c r="BJ97" s="2">
        <v>0.5</v>
      </c>
      <c r="BK97" s="2">
        <v>0.6</v>
      </c>
      <c r="BL97" s="2">
        <v>1.4</v>
      </c>
      <c r="BN97" s="2">
        <v>0.6</v>
      </c>
      <c r="BO97" s="2">
        <v>0.9</v>
      </c>
      <c r="BP97" s="2">
        <v>2.3</v>
      </c>
    </row>
    <row r="98" ht="15.75" customHeight="1">
      <c r="A98" s="11" t="s">
        <v>308</v>
      </c>
      <c r="B98" s="1">
        <v>1.5</v>
      </c>
      <c r="C98" s="1">
        <v>2.3</v>
      </c>
      <c r="D98" s="1"/>
      <c r="E98" s="1">
        <v>1.7</v>
      </c>
      <c r="F98" s="1">
        <v>1.7</v>
      </c>
      <c r="G98" s="1">
        <v>1.4</v>
      </c>
      <c r="H98" s="1">
        <v>0.9</v>
      </c>
      <c r="I98" s="1">
        <v>1.0</v>
      </c>
      <c r="J98" s="1">
        <v>1.3</v>
      </c>
      <c r="K98" s="1">
        <v>0.6</v>
      </c>
      <c r="L98" s="1">
        <v>1.6</v>
      </c>
      <c r="M98" s="1">
        <v>2.4</v>
      </c>
      <c r="N98" s="1">
        <v>1.1</v>
      </c>
      <c r="O98" s="1">
        <v>0.8</v>
      </c>
      <c r="P98" s="1">
        <v>0.9</v>
      </c>
      <c r="Q98" s="1">
        <v>2.1</v>
      </c>
      <c r="R98" s="1">
        <v>1.2</v>
      </c>
      <c r="S98" s="1"/>
      <c r="T98" s="1">
        <v>1.3</v>
      </c>
      <c r="U98" s="1">
        <v>1.6</v>
      </c>
      <c r="V98" s="1">
        <v>9.4</v>
      </c>
      <c r="W98" s="1">
        <v>1.4</v>
      </c>
      <c r="X98" s="1">
        <v>2.5</v>
      </c>
      <c r="Y98" s="1">
        <v>2.1</v>
      </c>
      <c r="Z98" s="1">
        <v>1.3</v>
      </c>
      <c r="AA98" s="1">
        <v>2.1</v>
      </c>
      <c r="AB98" s="1">
        <v>1.8</v>
      </c>
      <c r="AC98" s="1">
        <v>0.7</v>
      </c>
      <c r="AD98" s="1">
        <v>1.6</v>
      </c>
      <c r="AE98" s="1">
        <v>1.3</v>
      </c>
      <c r="AF98" s="1">
        <v>1.6</v>
      </c>
      <c r="AG98" s="1">
        <v>0.4</v>
      </c>
      <c r="AH98" s="1">
        <v>2.8</v>
      </c>
      <c r="AI98" s="1">
        <v>2.2</v>
      </c>
      <c r="AJ98" s="1">
        <v>1.9</v>
      </c>
      <c r="AK98" s="1">
        <v>1.0</v>
      </c>
      <c r="AL98" s="1">
        <v>2.3</v>
      </c>
      <c r="AM98" s="1">
        <v>3.3</v>
      </c>
      <c r="AN98" s="1">
        <v>1.8</v>
      </c>
      <c r="AO98" s="1">
        <v>0.9</v>
      </c>
      <c r="AP98" s="1">
        <v>0.9</v>
      </c>
      <c r="AQ98" s="1">
        <v>5.9</v>
      </c>
      <c r="AR98" s="1">
        <v>1.5</v>
      </c>
      <c r="AS98" s="1">
        <v>0.8</v>
      </c>
      <c r="AT98" s="1">
        <v>1.5</v>
      </c>
      <c r="AU98" s="1">
        <v>3.6</v>
      </c>
      <c r="AV98" s="1">
        <v>1.1</v>
      </c>
      <c r="AW98" s="1">
        <v>0.6</v>
      </c>
      <c r="AX98" s="1"/>
      <c r="AY98" s="1">
        <v>1.4</v>
      </c>
      <c r="AZ98" s="1"/>
      <c r="BA98" s="1">
        <v>3.3</v>
      </c>
      <c r="BB98" s="1">
        <v>4.7</v>
      </c>
      <c r="BC98" s="2">
        <v>1.2</v>
      </c>
      <c r="BE98" s="2">
        <v>1.7</v>
      </c>
      <c r="BH98" s="2">
        <v>1.5</v>
      </c>
      <c r="BJ98" s="2">
        <v>7.44</v>
      </c>
      <c r="BL98" s="2">
        <v>3.0</v>
      </c>
      <c r="BN98" s="2">
        <v>0.7</v>
      </c>
      <c r="BO98" s="2">
        <v>2.8</v>
      </c>
      <c r="BP98" s="2">
        <v>2.2</v>
      </c>
    </row>
    <row r="99" ht="15.75" customHeight="1">
      <c r="A99" s="11" t="s">
        <v>309</v>
      </c>
      <c r="B99" s="1">
        <v>7.45</v>
      </c>
      <c r="C99" s="1">
        <v>7.41</v>
      </c>
      <c r="D99" s="1"/>
      <c r="E99" s="1" t="s">
        <v>232</v>
      </c>
      <c r="F99" s="1">
        <v>7.46</v>
      </c>
      <c r="G99" s="1">
        <v>7.38</v>
      </c>
      <c r="H99" s="1">
        <v>7.43</v>
      </c>
      <c r="I99" s="1">
        <v>7.33</v>
      </c>
      <c r="J99" s="1">
        <v>7.46</v>
      </c>
      <c r="K99" s="1">
        <v>7.37</v>
      </c>
      <c r="L99" s="1">
        <v>7.47</v>
      </c>
      <c r="M99" s="1">
        <v>7.48</v>
      </c>
      <c r="N99" s="1">
        <v>7.39</v>
      </c>
      <c r="O99" s="1">
        <v>7.42</v>
      </c>
      <c r="P99" s="1">
        <v>7.41</v>
      </c>
      <c r="Q99" s="1">
        <v>7.44</v>
      </c>
      <c r="R99" s="1"/>
      <c r="S99" s="1"/>
      <c r="T99" s="1">
        <v>7.38</v>
      </c>
      <c r="U99" s="1">
        <v>7.42</v>
      </c>
      <c r="V99" s="1">
        <v>7.44</v>
      </c>
      <c r="W99" s="1">
        <v>7.47</v>
      </c>
      <c r="X99" s="1">
        <v>7.42</v>
      </c>
      <c r="Y99" s="1">
        <v>7.4</v>
      </c>
      <c r="Z99" s="1">
        <v>7.41</v>
      </c>
      <c r="AA99" s="1">
        <v>7.46</v>
      </c>
      <c r="AB99" s="1">
        <v>7.43</v>
      </c>
      <c r="AC99" s="1">
        <v>7.38</v>
      </c>
      <c r="AD99" s="1">
        <v>7.33</v>
      </c>
      <c r="AE99" s="1">
        <v>7.44</v>
      </c>
      <c r="AF99" s="1">
        <v>7.39</v>
      </c>
      <c r="AG99" s="1">
        <v>7.36</v>
      </c>
      <c r="AH99" s="1">
        <v>7.41</v>
      </c>
      <c r="AI99" s="1">
        <v>7.3</v>
      </c>
      <c r="AJ99" s="1">
        <v>7.28</v>
      </c>
      <c r="AK99" s="1">
        <v>7.4</v>
      </c>
      <c r="AL99" s="1">
        <v>7.47</v>
      </c>
      <c r="AM99" s="1">
        <v>7.45</v>
      </c>
      <c r="AN99" s="1">
        <v>7.41</v>
      </c>
      <c r="AO99" s="1">
        <v>7.4</v>
      </c>
      <c r="AP99" s="1">
        <v>7.39</v>
      </c>
      <c r="AQ99" s="1">
        <v>7.48</v>
      </c>
      <c r="AR99" s="1">
        <v>7.34</v>
      </c>
      <c r="AS99" s="1">
        <v>7.36</v>
      </c>
      <c r="AT99" s="1">
        <v>7.44</v>
      </c>
      <c r="AU99" s="1">
        <v>7.38</v>
      </c>
      <c r="AV99" s="1">
        <v>7.43</v>
      </c>
      <c r="AW99" s="1">
        <v>7.4</v>
      </c>
      <c r="AX99" s="1">
        <v>7.37</v>
      </c>
      <c r="AY99" s="1">
        <v>7.44</v>
      </c>
      <c r="AZ99" s="1">
        <v>7.39</v>
      </c>
      <c r="BA99" s="1">
        <v>7.35</v>
      </c>
      <c r="BB99" s="1">
        <v>7.47</v>
      </c>
      <c r="BC99" s="2">
        <v>7.35</v>
      </c>
      <c r="BD99" s="2">
        <v>7.36</v>
      </c>
      <c r="BF99" s="2">
        <v>7.44</v>
      </c>
      <c r="BG99" s="2">
        <v>7.43</v>
      </c>
      <c r="BH99" s="2">
        <v>7.44</v>
      </c>
      <c r="BK99" s="2">
        <v>7.34</v>
      </c>
      <c r="BL99" s="2">
        <v>7.75</v>
      </c>
      <c r="BN99" s="2">
        <v>7.38</v>
      </c>
      <c r="BO99" s="2">
        <v>7.35</v>
      </c>
      <c r="BP99" s="2">
        <v>7.52</v>
      </c>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row>
    <row r="101" ht="15.75" customHeight="1">
      <c r="A101" s="4" t="s">
        <v>310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row>
    <row r="102" ht="15.75" customHeight="1">
      <c r="A102" s="11" t="s">
        <v>298</v>
      </c>
      <c r="B102" s="1">
        <v>135.0</v>
      </c>
      <c r="C102" s="1">
        <v>127.0</v>
      </c>
      <c r="D102" s="1"/>
      <c r="E102" s="1">
        <v>135.0</v>
      </c>
      <c r="F102" s="1">
        <v>136.0</v>
      </c>
      <c r="G102" s="1">
        <v>131.0</v>
      </c>
      <c r="H102" s="1">
        <v>131.0</v>
      </c>
      <c r="I102" s="1">
        <v>137.0</v>
      </c>
      <c r="J102" s="1">
        <v>133.0</v>
      </c>
      <c r="K102" s="1">
        <v>137.0</v>
      </c>
      <c r="L102" s="1">
        <v>123.0</v>
      </c>
      <c r="M102" s="1">
        <v>123.0</v>
      </c>
      <c r="N102" s="2">
        <v>145.0</v>
      </c>
      <c r="O102" s="1">
        <v>135.0</v>
      </c>
      <c r="P102" s="1">
        <v>132.0</v>
      </c>
      <c r="Q102" s="2">
        <v>127.0</v>
      </c>
      <c r="R102" s="1">
        <v>134.0</v>
      </c>
      <c r="S102" s="1"/>
      <c r="T102" s="1">
        <v>135.0</v>
      </c>
      <c r="U102" s="1">
        <v>129.0</v>
      </c>
      <c r="V102" s="1">
        <v>135.0</v>
      </c>
      <c r="W102" s="1">
        <v>119.0</v>
      </c>
      <c r="X102" s="1">
        <v>140.0</v>
      </c>
      <c r="Y102" s="1">
        <v>133.0</v>
      </c>
      <c r="Z102" s="1">
        <v>134.0</v>
      </c>
      <c r="AA102" s="1">
        <v>130.0</v>
      </c>
      <c r="AB102" s="1">
        <v>129.0</v>
      </c>
      <c r="AC102" s="1">
        <v>132.0</v>
      </c>
      <c r="AD102" s="1">
        <v>137.0</v>
      </c>
      <c r="AE102" s="1">
        <v>122.0</v>
      </c>
      <c r="AF102" s="1">
        <v>129.0</v>
      </c>
      <c r="AG102" s="1">
        <v>135.0</v>
      </c>
      <c r="AH102" s="1">
        <v>141.0</v>
      </c>
      <c r="AI102" s="1">
        <v>135.0</v>
      </c>
      <c r="AJ102" s="1">
        <v>132.0</v>
      </c>
      <c r="AK102" s="1">
        <v>134.0</v>
      </c>
      <c r="AL102" s="1">
        <v>129.0</v>
      </c>
      <c r="AM102" s="1">
        <v>123.0</v>
      </c>
      <c r="AN102" s="1">
        <v>134.0</v>
      </c>
      <c r="AO102" s="1">
        <v>122.0</v>
      </c>
      <c r="AP102" s="1">
        <v>133.0</v>
      </c>
      <c r="AQ102" s="1">
        <v>127.0</v>
      </c>
      <c r="AR102" s="1">
        <v>137.0</v>
      </c>
      <c r="AS102" s="1">
        <v>144.0</v>
      </c>
      <c r="AT102" s="1">
        <v>133.0</v>
      </c>
      <c r="AU102" s="1">
        <v>137.0</v>
      </c>
      <c r="AV102" s="1">
        <v>135.0</v>
      </c>
      <c r="AW102" s="1">
        <v>125.0</v>
      </c>
      <c r="AX102" s="1">
        <v>132.0</v>
      </c>
      <c r="AY102" s="1">
        <v>129.0</v>
      </c>
      <c r="AZ102" s="1">
        <v>131.0</v>
      </c>
      <c r="BA102" s="1">
        <v>136.0</v>
      </c>
      <c r="BB102" s="1">
        <v>137.0</v>
      </c>
      <c r="BC102" s="2">
        <v>134.0</v>
      </c>
      <c r="BD102" s="2">
        <v>131.0</v>
      </c>
      <c r="BE102" s="2">
        <v>137.0</v>
      </c>
      <c r="BF102" s="2">
        <v>135.0</v>
      </c>
      <c r="BG102" s="2">
        <v>124.0</v>
      </c>
      <c r="BH102" s="2">
        <v>132.0</v>
      </c>
      <c r="BI102" s="2">
        <v>135.0</v>
      </c>
      <c r="BJ102" s="2">
        <v>135.0</v>
      </c>
      <c r="BK102" s="2">
        <v>135.0</v>
      </c>
      <c r="BL102" s="2">
        <v>126.0</v>
      </c>
      <c r="BM102" s="2">
        <v>139.0</v>
      </c>
      <c r="BN102" s="2">
        <v>134.0</v>
      </c>
      <c r="BO102" s="2">
        <v>130.0</v>
      </c>
      <c r="BP102" s="2">
        <v>138.0</v>
      </c>
    </row>
    <row r="103" ht="15.75" customHeight="1">
      <c r="A103" s="11" t="s">
        <v>299</v>
      </c>
      <c r="B103" s="1">
        <v>4.2</v>
      </c>
      <c r="C103" s="1">
        <v>5.1</v>
      </c>
      <c r="D103" s="1"/>
      <c r="E103" s="1">
        <v>4.0</v>
      </c>
      <c r="F103" s="1">
        <v>4.3</v>
      </c>
      <c r="G103" s="1">
        <v>4.1</v>
      </c>
      <c r="H103" s="1">
        <v>5.1</v>
      </c>
      <c r="I103" s="1">
        <v>4.4</v>
      </c>
      <c r="J103" s="1">
        <v>4.0</v>
      </c>
      <c r="K103" s="1">
        <v>4.5</v>
      </c>
      <c r="L103" s="1">
        <v>4.4</v>
      </c>
      <c r="M103" s="1">
        <v>4.7</v>
      </c>
      <c r="N103" s="1">
        <v>4.1</v>
      </c>
      <c r="O103" s="1">
        <v>4.5</v>
      </c>
      <c r="P103" s="1">
        <v>4.4</v>
      </c>
      <c r="Q103" s="1">
        <v>4.2</v>
      </c>
      <c r="R103" s="1">
        <v>4.2</v>
      </c>
      <c r="S103" s="1"/>
      <c r="T103" s="1">
        <v>5.3</v>
      </c>
      <c r="U103" s="1">
        <v>4.5</v>
      </c>
      <c r="V103" s="1">
        <v>3.9</v>
      </c>
      <c r="W103" s="1">
        <v>4.3</v>
      </c>
      <c r="X103" s="1">
        <v>4.2</v>
      </c>
      <c r="Y103" s="1">
        <v>5.0</v>
      </c>
      <c r="Z103" s="1">
        <v>4.8</v>
      </c>
      <c r="AA103" s="1">
        <v>4.3</v>
      </c>
      <c r="AB103" s="1">
        <v>5.0</v>
      </c>
      <c r="AC103" s="1">
        <v>5.3</v>
      </c>
      <c r="AD103" s="1">
        <v>3.8</v>
      </c>
      <c r="AE103" s="1">
        <v>3.4</v>
      </c>
      <c r="AF103" s="1">
        <v>3.9</v>
      </c>
      <c r="AG103" s="1">
        <v>4.2</v>
      </c>
      <c r="AH103" s="1">
        <v>5.4</v>
      </c>
      <c r="AI103" s="1">
        <v>4.7</v>
      </c>
      <c r="AJ103" s="1">
        <v>3.7</v>
      </c>
      <c r="AK103" s="1">
        <v>4.9</v>
      </c>
      <c r="AL103" s="1">
        <v>4.5</v>
      </c>
      <c r="AM103" s="1">
        <v>4.1</v>
      </c>
      <c r="AN103" s="1">
        <v>4.3</v>
      </c>
      <c r="AO103" s="1">
        <v>4.6</v>
      </c>
      <c r="AP103" s="1">
        <v>4.3</v>
      </c>
      <c r="AQ103" s="1">
        <v>4.8</v>
      </c>
      <c r="AR103" s="1">
        <v>4.8</v>
      </c>
      <c r="AS103" s="1">
        <v>3.9</v>
      </c>
      <c r="AT103" s="1">
        <v>4.6</v>
      </c>
      <c r="AU103" s="1">
        <v>4.8</v>
      </c>
      <c r="AV103" s="1">
        <v>4.8</v>
      </c>
      <c r="AW103" s="1">
        <v>4.4</v>
      </c>
      <c r="AX103" s="1">
        <v>4.1</v>
      </c>
      <c r="AY103" s="1">
        <v>4.1</v>
      </c>
      <c r="AZ103" s="1">
        <v>4.3</v>
      </c>
      <c r="BA103" s="1">
        <v>4.3</v>
      </c>
      <c r="BB103" s="1">
        <v>5.7</v>
      </c>
      <c r="BC103" s="2">
        <v>4.1</v>
      </c>
      <c r="BD103" s="2">
        <v>4.6</v>
      </c>
      <c r="BE103" s="2">
        <v>4.1</v>
      </c>
      <c r="BF103" s="2">
        <v>4.4</v>
      </c>
      <c r="BG103" s="2">
        <v>4.2</v>
      </c>
      <c r="BH103" s="2">
        <v>5.3</v>
      </c>
      <c r="BI103" s="2">
        <v>4.1</v>
      </c>
      <c r="BJ103" s="2">
        <v>5.2</v>
      </c>
      <c r="BK103" s="2">
        <v>4.3</v>
      </c>
      <c r="BL103" s="2">
        <v>4.9</v>
      </c>
      <c r="BM103" s="2">
        <v>4.6</v>
      </c>
      <c r="BN103" s="2">
        <v>4.0</v>
      </c>
      <c r="BO103" s="2">
        <v>4.8</v>
      </c>
      <c r="BP103" s="2">
        <v>4.4</v>
      </c>
    </row>
    <row r="104" ht="15.75" customHeight="1">
      <c r="A104" s="11" t="s">
        <v>300</v>
      </c>
      <c r="B104" s="1">
        <v>22.0</v>
      </c>
      <c r="C104" s="1">
        <v>28.0</v>
      </c>
      <c r="D104" s="1"/>
      <c r="E104" s="1">
        <v>30.0</v>
      </c>
      <c r="F104" s="1">
        <v>23.0</v>
      </c>
      <c r="G104" s="1">
        <v>21.0</v>
      </c>
      <c r="H104" s="1">
        <v>25.0</v>
      </c>
      <c r="I104" s="1"/>
      <c r="J104" s="1">
        <v>28.0</v>
      </c>
      <c r="K104" s="1">
        <v>24.0</v>
      </c>
      <c r="L104" s="1">
        <v>24.0</v>
      </c>
      <c r="M104" s="1">
        <v>21.0</v>
      </c>
      <c r="N104" s="1">
        <v>18.0</v>
      </c>
      <c r="O104" s="1">
        <v>25.0</v>
      </c>
      <c r="P104" s="1">
        <v>26.0</v>
      </c>
      <c r="Q104" s="1">
        <v>25.0</v>
      </c>
      <c r="R104" s="1">
        <v>23.0</v>
      </c>
      <c r="S104" s="1"/>
      <c r="T104" s="1">
        <v>26.0</v>
      </c>
      <c r="U104" s="1">
        <v>23.0</v>
      </c>
      <c r="V104" s="1">
        <v>21.0</v>
      </c>
      <c r="W104" s="1">
        <v>23.0</v>
      </c>
      <c r="X104" s="1">
        <v>30.0</v>
      </c>
      <c r="Y104" s="1">
        <v>27.0</v>
      </c>
      <c r="Z104" s="1">
        <v>24.0</v>
      </c>
      <c r="AA104" s="1">
        <v>25.0</v>
      </c>
      <c r="AB104" s="1">
        <v>27.0</v>
      </c>
      <c r="AC104" s="1">
        <v>27.0</v>
      </c>
      <c r="AD104" s="1">
        <v>26.0</v>
      </c>
      <c r="AE104" s="1">
        <v>30.0</v>
      </c>
      <c r="AF104" s="1">
        <v>27.0</v>
      </c>
      <c r="AG104" s="1">
        <v>20.0</v>
      </c>
      <c r="AH104" s="1">
        <v>21.0</v>
      </c>
      <c r="AI104" s="1">
        <v>21.0</v>
      </c>
      <c r="AJ104" s="1">
        <v>24.0</v>
      </c>
      <c r="AK104" s="1">
        <v>25.0</v>
      </c>
      <c r="AL104" s="1">
        <v>22.0</v>
      </c>
      <c r="AM104" s="1">
        <v>24.0</v>
      </c>
      <c r="AN104" s="1">
        <v>24.0</v>
      </c>
      <c r="AO104" s="1">
        <v>23.0</v>
      </c>
      <c r="AP104" s="1">
        <v>21.0</v>
      </c>
      <c r="AQ104" s="1">
        <v>23.0</v>
      </c>
      <c r="AR104" s="1">
        <v>26.0</v>
      </c>
      <c r="AS104" s="1">
        <v>29.0</v>
      </c>
      <c r="AT104" s="1">
        <v>27.0</v>
      </c>
      <c r="AU104" s="1">
        <v>21.0</v>
      </c>
      <c r="AV104" s="1">
        <v>21.0</v>
      </c>
      <c r="AW104" s="1">
        <v>25.0</v>
      </c>
      <c r="AX104" s="1">
        <v>25.0</v>
      </c>
      <c r="AY104" s="1">
        <v>21.0</v>
      </c>
      <c r="AZ104" s="1">
        <v>21.0</v>
      </c>
      <c r="BA104" s="1">
        <v>23.0</v>
      </c>
      <c r="BB104" s="1">
        <v>7.0</v>
      </c>
      <c r="BC104" s="2">
        <v>22.0</v>
      </c>
      <c r="BD104" s="2">
        <v>29.0</v>
      </c>
      <c r="BE104" s="2">
        <v>22.0</v>
      </c>
      <c r="BF104" s="2">
        <v>25.0</v>
      </c>
      <c r="BG104" s="2">
        <v>25.0</v>
      </c>
      <c r="BH104" s="2">
        <v>16.0</v>
      </c>
      <c r="BI104" s="2">
        <v>29.0</v>
      </c>
      <c r="BJ104" s="2">
        <v>24.0</v>
      </c>
      <c r="BK104" s="2">
        <v>20.0</v>
      </c>
      <c r="BL104" s="2">
        <v>28.0</v>
      </c>
      <c r="BM104" s="2">
        <v>24.0</v>
      </c>
      <c r="BN104" s="2">
        <v>22.0</v>
      </c>
      <c r="BO104" s="2">
        <v>20.0</v>
      </c>
      <c r="BP104" s="2">
        <v>31.0</v>
      </c>
    </row>
    <row r="105" ht="15.75" customHeight="1">
      <c r="A105" s="11" t="s">
        <v>301</v>
      </c>
      <c r="B105" s="1">
        <v>3.9</v>
      </c>
      <c r="C105" s="1">
        <v>1.2</v>
      </c>
      <c r="D105" s="1"/>
      <c r="E105" s="1">
        <v>3.9</v>
      </c>
      <c r="F105" s="1">
        <v>0.7</v>
      </c>
      <c r="G105" s="1">
        <v>0.8</v>
      </c>
      <c r="H105" s="1">
        <v>1.2</v>
      </c>
      <c r="I105" s="1">
        <v>0.9</v>
      </c>
      <c r="J105" s="1">
        <v>1.8</v>
      </c>
      <c r="K105" s="1">
        <v>1.2</v>
      </c>
      <c r="L105" s="1">
        <v>0.9</v>
      </c>
      <c r="M105" s="1">
        <v>1.8</v>
      </c>
      <c r="N105" s="1">
        <v>1.2</v>
      </c>
      <c r="O105" s="1">
        <v>1.1</v>
      </c>
      <c r="P105" s="1">
        <v>0.9</v>
      </c>
      <c r="Q105" s="1">
        <v>1.6</v>
      </c>
      <c r="R105" s="1">
        <v>1.2</v>
      </c>
      <c r="S105" s="1"/>
      <c r="T105" s="1">
        <v>1.5</v>
      </c>
      <c r="U105" s="1">
        <v>1.6</v>
      </c>
      <c r="V105" s="1">
        <v>1.1</v>
      </c>
      <c r="W105" s="2">
        <v>1.3</v>
      </c>
      <c r="X105" s="1">
        <v>1.4</v>
      </c>
      <c r="Y105" s="1">
        <v>1.1</v>
      </c>
      <c r="Z105" s="1">
        <v>1.2</v>
      </c>
      <c r="AA105" s="1">
        <v>1.4</v>
      </c>
      <c r="AB105" s="1">
        <v>1.1</v>
      </c>
      <c r="AC105" s="1">
        <v>1.7</v>
      </c>
      <c r="AD105" s="1">
        <v>0.9</v>
      </c>
      <c r="AE105" s="1">
        <v>2.4</v>
      </c>
      <c r="AF105" s="1">
        <v>3.0</v>
      </c>
      <c r="AG105" s="1">
        <v>1.32</v>
      </c>
      <c r="AH105" s="1">
        <v>2.34</v>
      </c>
      <c r="AI105" s="1">
        <v>1.18</v>
      </c>
      <c r="AJ105" s="1">
        <v>0.71</v>
      </c>
      <c r="AK105" s="1">
        <v>2.28</v>
      </c>
      <c r="AL105" s="1">
        <v>1.47</v>
      </c>
      <c r="AM105" s="1">
        <v>0.87</v>
      </c>
      <c r="AN105" s="1">
        <v>0.97</v>
      </c>
      <c r="AO105" s="1">
        <v>0.72</v>
      </c>
      <c r="AP105" s="1">
        <v>1.87</v>
      </c>
      <c r="AQ105" s="1">
        <v>0.72</v>
      </c>
      <c r="AR105" s="1">
        <v>0.79</v>
      </c>
      <c r="AS105" s="1">
        <v>2.48</v>
      </c>
      <c r="AT105" s="1">
        <v>2.0</v>
      </c>
      <c r="AU105" s="1">
        <v>1.56</v>
      </c>
      <c r="AV105" s="1">
        <v>0.76</v>
      </c>
      <c r="AW105" s="1">
        <v>1.32</v>
      </c>
      <c r="AX105" s="1">
        <v>4.67</v>
      </c>
      <c r="AY105" s="1">
        <v>1.3</v>
      </c>
      <c r="AZ105" s="1">
        <v>1.46</v>
      </c>
      <c r="BA105" s="1">
        <v>1.23</v>
      </c>
      <c r="BB105" s="1">
        <v>1.68</v>
      </c>
      <c r="BC105" s="2">
        <v>5.47</v>
      </c>
      <c r="BD105" s="2">
        <v>1.13</v>
      </c>
      <c r="BE105" s="2">
        <v>5.47</v>
      </c>
      <c r="BF105" s="2">
        <v>1.2</v>
      </c>
      <c r="BG105" s="2">
        <v>1.45</v>
      </c>
      <c r="BH105" s="2">
        <v>1.91</v>
      </c>
      <c r="BI105" s="2">
        <v>0.59</v>
      </c>
      <c r="BJ105" s="2">
        <v>1.15</v>
      </c>
      <c r="BK105" s="2">
        <v>0.92</v>
      </c>
      <c r="BL105" s="2">
        <v>1.57</v>
      </c>
      <c r="BM105" s="2">
        <v>1.23</v>
      </c>
      <c r="BN105" s="2">
        <v>3.37</v>
      </c>
      <c r="BO105" s="2">
        <v>1.37</v>
      </c>
      <c r="BP105" s="2">
        <v>1.29</v>
      </c>
    </row>
    <row r="106" ht="15.75" customHeight="1">
      <c r="A106" s="11" t="s">
        <v>302</v>
      </c>
      <c r="B106" s="1">
        <v>17.0</v>
      </c>
      <c r="C106" s="1">
        <v>75.0</v>
      </c>
      <c r="D106" s="1"/>
      <c r="E106" s="1">
        <v>17.0</v>
      </c>
      <c r="F106" s="1">
        <v>119.0</v>
      </c>
      <c r="G106" s="1">
        <v>100.0</v>
      </c>
      <c r="H106" s="1">
        <v>69.0</v>
      </c>
      <c r="I106" s="1">
        <v>105.0</v>
      </c>
      <c r="J106" s="1">
        <v>41.0</v>
      </c>
      <c r="K106" s="1">
        <v>71.0</v>
      </c>
      <c r="L106" s="1">
        <v>94.0</v>
      </c>
      <c r="M106" s="1">
        <v>46.0</v>
      </c>
      <c r="N106" s="1">
        <v>51.0</v>
      </c>
      <c r="O106" s="1">
        <v>56.0</v>
      </c>
      <c r="P106" s="1">
        <v>96.0</v>
      </c>
      <c r="Q106" s="1">
        <v>51.0</v>
      </c>
      <c r="R106" s="1">
        <v>68.0</v>
      </c>
      <c r="S106" s="1"/>
      <c r="T106" s="1">
        <v>39.0</v>
      </c>
      <c r="U106" s="1">
        <v>39.0</v>
      </c>
      <c r="V106" s="1">
        <v>77.0</v>
      </c>
      <c r="W106" s="1">
        <v>67.0</v>
      </c>
      <c r="X106" s="1">
        <v>43.0</v>
      </c>
      <c r="Y106" s="1">
        <v>69.0</v>
      </c>
      <c r="Z106" s="1">
        <v>72.0</v>
      </c>
      <c r="AA106" s="1">
        <v>61.0</v>
      </c>
      <c r="AB106" s="1">
        <v>74.0</v>
      </c>
      <c r="AC106" s="1">
        <v>40.0</v>
      </c>
      <c r="AD106" s="1">
        <v>71.0</v>
      </c>
      <c r="AE106" s="1">
        <v>21.0</v>
      </c>
      <c r="AF106" s="1">
        <v>24.0</v>
      </c>
      <c r="AG106" s="1">
        <v>42.0</v>
      </c>
      <c r="AH106" s="1">
        <v>30.0</v>
      </c>
      <c r="AI106" s="1">
        <v>65.0</v>
      </c>
      <c r="AJ106" s="1">
        <v>101.0</v>
      </c>
      <c r="AK106" s="1">
        <v>31.0</v>
      </c>
      <c r="AL106" s="1">
        <v>53.0</v>
      </c>
      <c r="AM106" s="1">
        <v>101.0</v>
      </c>
      <c r="AN106" s="1">
        <v>80.0</v>
      </c>
      <c r="AO106" s="1">
        <v>116.0</v>
      </c>
      <c r="AP106" s="1">
        <v>39.0</v>
      </c>
      <c r="AQ106" s="1">
        <v>121.0</v>
      </c>
      <c r="AR106" s="1">
        <v>115.0</v>
      </c>
      <c r="AS106" s="1">
        <v>29.0</v>
      </c>
      <c r="AT106" s="1">
        <v>36.0</v>
      </c>
      <c r="AU106" s="1">
        <v>36.0</v>
      </c>
      <c r="AV106" s="1">
        <v>104.0</v>
      </c>
      <c r="AW106" s="1">
        <v>44.0</v>
      </c>
      <c r="AX106" s="1">
        <v>13.0</v>
      </c>
      <c r="AY106" s="1">
        <v>45.0</v>
      </c>
      <c r="AZ106" s="1">
        <v>58.0</v>
      </c>
      <c r="BA106" s="1">
        <v>66.0</v>
      </c>
      <c r="BB106" s="1">
        <v>43.0</v>
      </c>
      <c r="BC106" s="2">
        <v>10.0</v>
      </c>
      <c r="BD106" s="2">
        <v>87.0</v>
      </c>
      <c r="BE106" s="2">
        <v>10.0</v>
      </c>
      <c r="BF106" s="2">
        <v>65.0</v>
      </c>
      <c r="BG106" s="2">
        <v>53.0</v>
      </c>
      <c r="BH106" s="2">
        <v>81.0</v>
      </c>
      <c r="BI106" s="2">
        <v>115.0</v>
      </c>
      <c r="BJ106" s="2">
        <v>71.0</v>
      </c>
      <c r="BK106" s="2">
        <v>88.0</v>
      </c>
      <c r="BL106" s="2">
        <v>51.0</v>
      </c>
      <c r="BM106" s="2">
        <v>70.0</v>
      </c>
      <c r="BN106" s="2">
        <v>19.0</v>
      </c>
      <c r="BO106" s="2">
        <v>63.0</v>
      </c>
      <c r="BP106" s="2">
        <v>75.0</v>
      </c>
    </row>
    <row r="107" ht="15.75" customHeight="1">
      <c r="A107" s="11" t="s">
        <v>303</v>
      </c>
      <c r="B107" s="1">
        <v>9.0</v>
      </c>
      <c r="C107" s="1">
        <v>8.8</v>
      </c>
      <c r="D107" s="1"/>
      <c r="E107" s="1">
        <v>8.3</v>
      </c>
      <c r="F107" s="1">
        <v>10.0</v>
      </c>
      <c r="G107" s="1">
        <v>9.0</v>
      </c>
      <c r="H107" s="1">
        <v>9.6</v>
      </c>
      <c r="I107" s="1">
        <v>15.9</v>
      </c>
      <c r="J107" s="1">
        <v>11.7</v>
      </c>
      <c r="K107" s="1">
        <v>11.9</v>
      </c>
      <c r="L107" s="1">
        <v>12.8</v>
      </c>
      <c r="M107" s="1">
        <v>8.1</v>
      </c>
      <c r="N107" s="1">
        <v>7.4</v>
      </c>
      <c r="O107" s="1">
        <v>9.4</v>
      </c>
      <c r="P107" s="1">
        <v>14.1</v>
      </c>
      <c r="Q107" s="1">
        <v>11.8</v>
      </c>
      <c r="R107" s="1">
        <v>12.3</v>
      </c>
      <c r="S107" s="1"/>
      <c r="T107" s="1">
        <v>7.0</v>
      </c>
      <c r="U107" s="1">
        <v>10.9</v>
      </c>
      <c r="V107" s="1">
        <v>8.0</v>
      </c>
      <c r="W107" s="1">
        <v>10.7</v>
      </c>
      <c r="X107" s="1">
        <v>8.7</v>
      </c>
      <c r="Y107" s="1">
        <v>11.3</v>
      </c>
      <c r="Z107" s="1">
        <v>12.5</v>
      </c>
      <c r="AA107" s="1">
        <v>11.0</v>
      </c>
      <c r="AB107" s="1">
        <v>8.7</v>
      </c>
      <c r="AC107" s="1">
        <v>10.0</v>
      </c>
      <c r="AD107" s="1">
        <v>14.2</v>
      </c>
      <c r="AE107" s="1">
        <v>10.4</v>
      </c>
      <c r="AF107" s="1">
        <v>8.3</v>
      </c>
      <c r="AG107" s="1">
        <v>9.1</v>
      </c>
      <c r="AH107" s="1">
        <v>11.5</v>
      </c>
      <c r="AI107" s="1">
        <v>11.2</v>
      </c>
      <c r="AJ107" s="1">
        <v>7.4</v>
      </c>
      <c r="AK107" s="1">
        <v>8.5</v>
      </c>
      <c r="AL107" s="1">
        <v>14.5</v>
      </c>
      <c r="AM107" s="1">
        <v>10.5</v>
      </c>
      <c r="AN107" s="1">
        <v>9.6</v>
      </c>
      <c r="AO107" s="1">
        <v>9.7</v>
      </c>
      <c r="AP107" s="1">
        <v>7.9</v>
      </c>
      <c r="AQ107" s="1">
        <v>8.5</v>
      </c>
      <c r="AR107" s="1">
        <v>12.7</v>
      </c>
      <c r="AS107" s="1">
        <v>7.7</v>
      </c>
      <c r="AT107" s="1">
        <v>13.5</v>
      </c>
      <c r="AU107" s="1">
        <v>8.0</v>
      </c>
      <c r="AV107" s="1">
        <v>12.1</v>
      </c>
      <c r="AW107" s="1">
        <v>7.6</v>
      </c>
      <c r="AX107" s="1">
        <v>6.9</v>
      </c>
      <c r="AY107" s="1">
        <v>11.0</v>
      </c>
      <c r="AZ107" s="1">
        <v>9.9</v>
      </c>
      <c r="BA107" s="1">
        <v>11.0</v>
      </c>
      <c r="BB107" s="1">
        <v>8.4</v>
      </c>
      <c r="BC107" s="2">
        <v>8.9</v>
      </c>
      <c r="BD107" s="2">
        <v>13.6</v>
      </c>
      <c r="BE107" s="2">
        <v>8.9</v>
      </c>
      <c r="BF107" s="2">
        <v>10.6</v>
      </c>
      <c r="BG107" s="2">
        <v>10.0</v>
      </c>
      <c r="BH107" s="2">
        <v>10.8</v>
      </c>
      <c r="BI107" s="2">
        <v>13.4</v>
      </c>
      <c r="BJ107" s="2">
        <v>11.7</v>
      </c>
      <c r="BK107" s="2">
        <v>11.8</v>
      </c>
      <c r="BL107" s="2">
        <v>9.9</v>
      </c>
      <c r="BM107" s="2">
        <v>8.9</v>
      </c>
      <c r="BN107" s="2">
        <v>10.7</v>
      </c>
      <c r="BO107" s="2">
        <v>9.0</v>
      </c>
      <c r="BP107" s="2">
        <v>7.8</v>
      </c>
    </row>
    <row r="108" ht="15.75" customHeight="1">
      <c r="A108" s="11" t="s">
        <v>304</v>
      </c>
      <c r="B108" s="1">
        <v>16.09</v>
      </c>
      <c r="C108" s="1">
        <v>6.95</v>
      </c>
      <c r="D108" s="1"/>
      <c r="E108" s="1">
        <v>9.99</v>
      </c>
      <c r="F108" s="1">
        <v>6.87</v>
      </c>
      <c r="G108" s="1">
        <v>13.5</v>
      </c>
      <c r="H108" s="1">
        <v>11.5</v>
      </c>
      <c r="I108" s="1">
        <v>9.58</v>
      </c>
      <c r="J108" s="1">
        <v>5.52</v>
      </c>
      <c r="K108" s="1">
        <v>9.22</v>
      </c>
      <c r="L108" s="1">
        <v>9.26</v>
      </c>
      <c r="M108" s="1">
        <v>9.72</v>
      </c>
      <c r="N108" s="1">
        <v>5.99</v>
      </c>
      <c r="O108" s="1">
        <v>10.41</v>
      </c>
      <c r="P108" s="1">
        <v>11.07</v>
      </c>
      <c r="Q108" s="1">
        <v>7.94</v>
      </c>
      <c r="R108" s="1">
        <v>8.72</v>
      </c>
      <c r="S108" s="1"/>
      <c r="T108" s="1">
        <v>10.81</v>
      </c>
      <c r="U108" s="1">
        <v>19.88</v>
      </c>
      <c r="V108" s="1">
        <v>7.07</v>
      </c>
      <c r="W108" s="1">
        <v>10.94</v>
      </c>
      <c r="X108" s="1">
        <v>7.93</v>
      </c>
      <c r="Y108" s="1">
        <v>7.65</v>
      </c>
      <c r="Z108" s="1">
        <v>11.32</v>
      </c>
      <c r="AA108" s="1">
        <v>10.84</v>
      </c>
      <c r="AB108" s="1">
        <v>10.67</v>
      </c>
      <c r="AC108" s="1">
        <v>4.1</v>
      </c>
      <c r="AD108" s="1">
        <v>16.4</v>
      </c>
      <c r="AE108" s="1">
        <v>7.4</v>
      </c>
      <c r="AF108" s="1">
        <v>12.2</v>
      </c>
      <c r="AG108" s="1">
        <v>9.6</v>
      </c>
      <c r="AH108" s="1">
        <v>18.5</v>
      </c>
      <c r="AI108" s="1">
        <v>4.3</v>
      </c>
      <c r="AJ108" s="1">
        <v>15.07</v>
      </c>
      <c r="AK108" s="1">
        <v>6.41</v>
      </c>
      <c r="AL108" s="1">
        <v>6.7</v>
      </c>
      <c r="AM108" s="1">
        <v>10.11</v>
      </c>
      <c r="AN108" s="1">
        <v>6.77</v>
      </c>
      <c r="AO108" s="1">
        <v>19.18</v>
      </c>
      <c r="AP108" s="1">
        <v>8.58</v>
      </c>
      <c r="AQ108" s="1">
        <v>10.96</v>
      </c>
      <c r="AR108" s="1">
        <v>11.88</v>
      </c>
      <c r="AS108" s="1">
        <v>7.39</v>
      </c>
      <c r="AT108" s="1">
        <v>8.25</v>
      </c>
      <c r="AU108" s="1">
        <v>10.01</v>
      </c>
      <c r="AV108" s="1">
        <v>11.53</v>
      </c>
      <c r="AW108" s="1">
        <v>6.91</v>
      </c>
      <c r="AX108" s="1">
        <v>7.65</v>
      </c>
      <c r="AY108" s="1">
        <v>12.23</v>
      </c>
      <c r="AZ108" s="1">
        <v>9.85</v>
      </c>
      <c r="BA108" s="1">
        <v>9.64</v>
      </c>
      <c r="BB108" s="1">
        <v>25.22</v>
      </c>
      <c r="BC108" s="2">
        <v>5.5</v>
      </c>
      <c r="BD108" s="2">
        <v>13.23</v>
      </c>
      <c r="BE108" s="2">
        <v>5.52</v>
      </c>
      <c r="BF108" s="2">
        <v>9.45</v>
      </c>
      <c r="BG108" s="2">
        <v>13.33</v>
      </c>
      <c r="BH108" s="2">
        <v>5.78</v>
      </c>
      <c r="BI108" s="2">
        <v>8.47</v>
      </c>
      <c r="BJ108" s="2">
        <v>7.62</v>
      </c>
      <c r="BK108" s="2">
        <v>9.04</v>
      </c>
      <c r="BL108" s="2">
        <v>7.0</v>
      </c>
      <c r="BM108" s="2">
        <v>20.9</v>
      </c>
      <c r="BN108" s="2">
        <v>7.21</v>
      </c>
      <c r="BO108" s="2">
        <v>9.91</v>
      </c>
      <c r="BP108" s="2">
        <v>14.43</v>
      </c>
    </row>
    <row r="109" ht="15.75" customHeight="1">
      <c r="A109" s="11" t="s">
        <v>305</v>
      </c>
      <c r="B109" s="1">
        <v>34.0</v>
      </c>
      <c r="C109" s="1">
        <v>34.0</v>
      </c>
      <c r="D109" s="1"/>
      <c r="E109" s="1">
        <v>29.0</v>
      </c>
      <c r="F109" s="1">
        <v>12.0</v>
      </c>
      <c r="G109" s="1">
        <v>32.0</v>
      </c>
      <c r="H109" s="1">
        <v>27.0</v>
      </c>
      <c r="I109" s="1">
        <v>21.0</v>
      </c>
      <c r="J109" s="1">
        <v>18.0</v>
      </c>
      <c r="K109" s="1">
        <v>45.0</v>
      </c>
      <c r="L109" s="1">
        <v>24.0</v>
      </c>
      <c r="M109" s="1">
        <v>71.0</v>
      </c>
      <c r="N109" s="1">
        <v>95.0</v>
      </c>
      <c r="O109" s="1">
        <v>29.0</v>
      </c>
      <c r="P109" s="1">
        <v>38.0</v>
      </c>
      <c r="Q109" s="1">
        <v>24.0</v>
      </c>
      <c r="R109" s="1">
        <v>18.0</v>
      </c>
      <c r="S109" s="1"/>
      <c r="T109" s="1">
        <v>18.0</v>
      </c>
      <c r="U109" s="1">
        <v>125.0</v>
      </c>
      <c r="V109" s="1">
        <v>26.0</v>
      </c>
      <c r="W109" s="1">
        <v>22.0</v>
      </c>
      <c r="X109" s="1">
        <v>33.0</v>
      </c>
      <c r="Y109" s="1">
        <v>36.0</v>
      </c>
      <c r="Z109" s="1">
        <v>31.0</v>
      </c>
      <c r="AA109" s="1">
        <v>30.0</v>
      </c>
      <c r="AB109" s="1">
        <v>46.0</v>
      </c>
      <c r="AC109" s="1">
        <v>26.0</v>
      </c>
      <c r="AD109" s="1">
        <v>29.0</v>
      </c>
      <c r="AE109" s="1">
        <v>49.0</v>
      </c>
      <c r="AF109" s="1">
        <v>54.0</v>
      </c>
      <c r="AG109" s="1">
        <v>25.0</v>
      </c>
      <c r="AH109" s="1">
        <v>21.0</v>
      </c>
      <c r="AI109" s="1">
        <v>26.0</v>
      </c>
      <c r="AJ109" s="1">
        <v>119.0</v>
      </c>
      <c r="AK109" s="1">
        <v>15.0</v>
      </c>
      <c r="AL109" s="1">
        <v>21.0</v>
      </c>
      <c r="AM109" s="1">
        <v>31.0</v>
      </c>
      <c r="AN109" s="1">
        <v>22.0</v>
      </c>
      <c r="AO109" s="1">
        <v>25.0</v>
      </c>
      <c r="AP109" s="1">
        <v>89.0</v>
      </c>
      <c r="AQ109" s="1">
        <v>35.0</v>
      </c>
      <c r="AR109" s="1">
        <v>20.0</v>
      </c>
      <c r="AS109" s="1">
        <v>20.0</v>
      </c>
      <c r="AT109" s="1">
        <v>36.0</v>
      </c>
      <c r="AU109" s="1">
        <v>416.0</v>
      </c>
      <c r="AV109" s="1">
        <v>27.0</v>
      </c>
      <c r="AW109" s="1">
        <v>47.0</v>
      </c>
      <c r="AX109" s="1">
        <v>22.0</v>
      </c>
      <c r="AY109" s="1">
        <v>35.0</v>
      </c>
      <c r="AZ109" s="1">
        <v>26.0</v>
      </c>
      <c r="BA109" s="1">
        <v>443.0</v>
      </c>
      <c r="BB109" s="1">
        <v>335.0</v>
      </c>
      <c r="BC109" s="2">
        <v>26.0</v>
      </c>
      <c r="BD109" s="2">
        <v>23.0</v>
      </c>
      <c r="BE109" s="2">
        <v>26.0</v>
      </c>
      <c r="BF109" s="2">
        <v>24.0</v>
      </c>
      <c r="BG109" s="2">
        <v>27.0</v>
      </c>
      <c r="BH109" s="2">
        <v>23.0</v>
      </c>
      <c r="BI109" s="2">
        <v>23.0</v>
      </c>
      <c r="BJ109" s="2">
        <v>46.0</v>
      </c>
      <c r="BK109" s="2">
        <v>42.0</v>
      </c>
      <c r="BL109" s="2">
        <v>30.0</v>
      </c>
      <c r="BM109" s="2">
        <v>41.0</v>
      </c>
      <c r="BN109" s="2">
        <v>44.0</v>
      </c>
      <c r="BO109" s="2">
        <v>19.0</v>
      </c>
      <c r="BP109" s="2">
        <v>46.0</v>
      </c>
    </row>
    <row r="110" ht="15.75" customHeight="1">
      <c r="A110" s="11" t="s">
        <v>306</v>
      </c>
      <c r="B110" s="1">
        <v>11.0</v>
      </c>
      <c r="C110" s="1">
        <v>32.0</v>
      </c>
      <c r="D110" s="1"/>
      <c r="E110" s="1">
        <v>9.0</v>
      </c>
      <c r="F110" s="1">
        <v>25.0</v>
      </c>
      <c r="G110" s="1">
        <v>45.0</v>
      </c>
      <c r="H110" s="1">
        <v>13.0</v>
      </c>
      <c r="I110" s="1">
        <v>15.0</v>
      </c>
      <c r="J110" s="1">
        <v>14.0</v>
      </c>
      <c r="K110" s="1">
        <v>33.0</v>
      </c>
      <c r="L110" s="1">
        <v>79.0</v>
      </c>
      <c r="M110" s="1">
        <v>194.0</v>
      </c>
      <c r="N110" s="1">
        <v>5.0</v>
      </c>
      <c r="O110" s="1">
        <v>12.0</v>
      </c>
      <c r="P110" s="1">
        <v>36.0</v>
      </c>
      <c r="Q110" s="1">
        <v>14.0</v>
      </c>
      <c r="R110" s="1">
        <v>20.0</v>
      </c>
      <c r="S110" s="1"/>
      <c r="T110" s="1">
        <v>14.0</v>
      </c>
      <c r="U110" s="1">
        <v>140.0</v>
      </c>
      <c r="V110" s="1">
        <v>13.0</v>
      </c>
      <c r="W110" s="1">
        <v>6.0</v>
      </c>
      <c r="X110" s="1">
        <v>50.0</v>
      </c>
      <c r="Y110" s="1">
        <v>17.0</v>
      </c>
      <c r="Z110" s="1">
        <v>27.0</v>
      </c>
      <c r="AA110" s="1">
        <v>41.0</v>
      </c>
      <c r="AB110" s="1">
        <v>156.0</v>
      </c>
      <c r="AC110" s="1">
        <v>63.0</v>
      </c>
      <c r="AD110" s="1">
        <v>22.0</v>
      </c>
      <c r="AE110" s="1">
        <v>14.0</v>
      </c>
      <c r="AF110" s="1">
        <v>45.0</v>
      </c>
      <c r="AG110" s="1">
        <v>6.0</v>
      </c>
      <c r="AH110" s="1">
        <v>16.0</v>
      </c>
      <c r="AI110" s="1">
        <v>20.0</v>
      </c>
      <c r="AJ110" s="1">
        <v>75.0</v>
      </c>
      <c r="AK110" s="1">
        <v>17.0</v>
      </c>
      <c r="AL110" s="1">
        <v>17.0</v>
      </c>
      <c r="AM110" s="1">
        <v>27.0</v>
      </c>
      <c r="AN110" s="1">
        <v>14.0</v>
      </c>
      <c r="AO110" s="1">
        <v>21.0</v>
      </c>
      <c r="AP110" s="1">
        <v>43.0</v>
      </c>
      <c r="AQ110" s="1">
        <v>34.0</v>
      </c>
      <c r="AR110" s="1">
        <v>40.0</v>
      </c>
      <c r="AS110" s="1">
        <v>4.0</v>
      </c>
      <c r="AT110" s="1">
        <v>20.0</v>
      </c>
      <c r="AU110" s="1">
        <v>60.0</v>
      </c>
      <c r="AV110" s="1">
        <v>9.0</v>
      </c>
      <c r="AW110" s="1">
        <v>19.0</v>
      </c>
      <c r="AX110" s="1">
        <v>4.0</v>
      </c>
      <c r="AY110" s="1">
        <v>27.0</v>
      </c>
      <c r="AZ110" s="1">
        <v>23.0</v>
      </c>
      <c r="BA110" s="1">
        <v>786.0</v>
      </c>
      <c r="BB110" s="1">
        <v>576.0</v>
      </c>
      <c r="BC110" s="2">
        <v>14.0</v>
      </c>
      <c r="BD110" s="2">
        <v>25.0</v>
      </c>
      <c r="BE110" s="2">
        <v>14.0</v>
      </c>
      <c r="BF110" s="2">
        <v>13.0</v>
      </c>
      <c r="BG110" s="2">
        <v>9.0</v>
      </c>
      <c r="BH110" s="2">
        <v>32.0</v>
      </c>
      <c r="BI110" s="2">
        <v>13.0</v>
      </c>
      <c r="BJ110" s="2">
        <v>44.0</v>
      </c>
      <c r="BK110" s="2">
        <v>24.0</v>
      </c>
      <c r="BL110" s="2">
        <v>16.0</v>
      </c>
      <c r="BM110" s="2">
        <v>12.0</v>
      </c>
      <c r="BN110" s="2">
        <v>12.0</v>
      </c>
      <c r="BO110" s="2">
        <v>8.0</v>
      </c>
      <c r="BP110" s="2">
        <v>11.0</v>
      </c>
    </row>
    <row r="111" ht="15.75" customHeight="1">
      <c r="A111" s="11" t="s">
        <v>307</v>
      </c>
      <c r="B111" s="1">
        <v>0.9</v>
      </c>
      <c r="C111" s="1">
        <v>3.0</v>
      </c>
      <c r="D111" s="1"/>
      <c r="E111" s="1">
        <v>0.6</v>
      </c>
      <c r="F111" s="1">
        <v>0.7</v>
      </c>
      <c r="G111" s="1">
        <v>0.3</v>
      </c>
      <c r="H111" s="1">
        <v>0.7</v>
      </c>
      <c r="I111" s="1">
        <v>2.3</v>
      </c>
      <c r="J111" s="1">
        <v>1.1</v>
      </c>
      <c r="K111" s="1">
        <v>0.6</v>
      </c>
      <c r="L111" s="1">
        <v>1.3</v>
      </c>
      <c r="M111" s="1">
        <v>2.5</v>
      </c>
      <c r="N111" s="1">
        <v>4.4</v>
      </c>
      <c r="O111" s="1">
        <v>0.9</v>
      </c>
      <c r="P111" s="1">
        <v>2.9</v>
      </c>
      <c r="Q111" s="1">
        <v>1.8</v>
      </c>
      <c r="R111" s="1">
        <v>1.1</v>
      </c>
      <c r="S111" s="1"/>
      <c r="T111" s="1">
        <v>0.5</v>
      </c>
      <c r="U111" s="1">
        <v>5.0</v>
      </c>
      <c r="V111" s="1">
        <v>0.9</v>
      </c>
      <c r="W111" s="1">
        <v>3.0</v>
      </c>
      <c r="X111" s="1">
        <v>2.1</v>
      </c>
      <c r="Y111" s="1">
        <v>0.7</v>
      </c>
      <c r="Z111" s="1">
        <v>1.2</v>
      </c>
      <c r="AA111" s="1">
        <v>0.5</v>
      </c>
      <c r="AB111" s="1">
        <v>0.5</v>
      </c>
      <c r="AC111" s="1">
        <v>1.1</v>
      </c>
      <c r="AD111" s="1">
        <v>0.3</v>
      </c>
      <c r="AE111" s="1">
        <v>2.2</v>
      </c>
      <c r="AF111" s="1">
        <v>0.8</v>
      </c>
      <c r="AG111" s="1">
        <v>0.5</v>
      </c>
      <c r="AH111" s="1">
        <v>0.7</v>
      </c>
      <c r="AI111" s="1">
        <v>0.5</v>
      </c>
      <c r="AJ111" s="1">
        <v>1.3</v>
      </c>
      <c r="AK111" s="1">
        <v>0.5</v>
      </c>
      <c r="AL111" s="1">
        <v>2.2</v>
      </c>
      <c r="AM111" s="1">
        <v>1.1</v>
      </c>
      <c r="AN111" s="1">
        <v>2.8</v>
      </c>
      <c r="AO111" s="1">
        <v>0.7</v>
      </c>
      <c r="AP111" s="1">
        <v>0.3</v>
      </c>
      <c r="AQ111" s="1">
        <v>2.7</v>
      </c>
      <c r="AR111" s="1">
        <v>0.6</v>
      </c>
      <c r="AS111" s="1">
        <v>2.4</v>
      </c>
      <c r="AT111" s="1">
        <v>1.2</v>
      </c>
      <c r="AU111" s="1">
        <v>0.9</v>
      </c>
      <c r="AV111" s="1">
        <v>2.4</v>
      </c>
      <c r="AW111" s="1">
        <v>0.6</v>
      </c>
      <c r="AX111" s="1">
        <v>0.4</v>
      </c>
      <c r="AY111" s="1">
        <v>0.6</v>
      </c>
      <c r="AZ111" s="1">
        <v>0.9</v>
      </c>
      <c r="BA111" s="1">
        <v>1.4</v>
      </c>
      <c r="BB111" s="1">
        <v>1.3</v>
      </c>
      <c r="BC111" s="2">
        <v>0.4</v>
      </c>
      <c r="BD111" s="2">
        <v>0.8</v>
      </c>
      <c r="BE111" s="2">
        <v>0.4</v>
      </c>
      <c r="BF111" s="2">
        <v>2.5</v>
      </c>
      <c r="BG111" s="2">
        <v>1.6</v>
      </c>
      <c r="BH111" s="2">
        <v>0.7</v>
      </c>
      <c r="BI111" s="2">
        <v>3.1</v>
      </c>
      <c r="BJ111" s="2">
        <v>0.5</v>
      </c>
      <c r="BK111" s="2">
        <v>0.6</v>
      </c>
      <c r="BL111" s="2">
        <v>1.3</v>
      </c>
      <c r="BM111" s="2">
        <v>0.4</v>
      </c>
      <c r="BN111" s="2">
        <v>0.9</v>
      </c>
      <c r="BO111" s="2">
        <v>0.5</v>
      </c>
      <c r="BP111" s="2">
        <v>2.7</v>
      </c>
    </row>
    <row r="112" ht="15.75" customHeight="1">
      <c r="A112" s="11" t="s">
        <v>308</v>
      </c>
      <c r="B112" s="1">
        <v>1.5</v>
      </c>
      <c r="C112" s="1">
        <v>0.9</v>
      </c>
      <c r="D112" s="1"/>
      <c r="E112" s="1"/>
      <c r="F112" s="1">
        <v>0.9</v>
      </c>
      <c r="G112" s="1">
        <v>1.1</v>
      </c>
      <c r="H112" s="1">
        <v>1.0</v>
      </c>
      <c r="I112" s="1">
        <v>1.2</v>
      </c>
      <c r="J112" s="1">
        <v>0.8</v>
      </c>
      <c r="K112" s="1">
        <v>1.0</v>
      </c>
      <c r="L112" s="1" t="s">
        <v>232</v>
      </c>
      <c r="M112" s="1">
        <v>1.6</v>
      </c>
      <c r="N112" s="1">
        <v>5.9</v>
      </c>
      <c r="O112" s="1">
        <v>0.7</v>
      </c>
      <c r="P112" s="1">
        <v>0.9</v>
      </c>
      <c r="Q112" s="1">
        <v>1.1</v>
      </c>
      <c r="R112" s="1">
        <v>0.9</v>
      </c>
      <c r="S112" s="1"/>
      <c r="T112" s="1">
        <v>1.2</v>
      </c>
      <c r="U112" s="1">
        <v>1.1</v>
      </c>
      <c r="V112" s="1">
        <v>1.0</v>
      </c>
      <c r="W112" s="1"/>
      <c r="X112" s="1">
        <v>1.0</v>
      </c>
      <c r="Y112" s="1">
        <v>0.7</v>
      </c>
      <c r="Z112" s="1">
        <v>1.4</v>
      </c>
      <c r="AA112" s="1">
        <v>1.3</v>
      </c>
      <c r="AB112" s="1">
        <v>1.9</v>
      </c>
      <c r="AC112" s="1">
        <v>1.9</v>
      </c>
      <c r="AD112" s="1">
        <v>1.9</v>
      </c>
      <c r="AE112" s="1">
        <v>0.8</v>
      </c>
      <c r="AF112" s="1">
        <v>0.8</v>
      </c>
      <c r="AG112" s="1">
        <v>0.8</v>
      </c>
      <c r="AH112" s="1">
        <v>1.6</v>
      </c>
      <c r="AI112" s="1">
        <v>1.5</v>
      </c>
      <c r="AJ112" s="1">
        <v>0.8</v>
      </c>
      <c r="AK112" s="1">
        <v>0.8</v>
      </c>
      <c r="AL112" s="1">
        <v>1.6</v>
      </c>
      <c r="AM112" s="1">
        <v>1.4</v>
      </c>
      <c r="AN112" s="1">
        <v>3.1</v>
      </c>
      <c r="AO112" s="1">
        <v>1.3</v>
      </c>
      <c r="AP112" s="1">
        <v>8.0</v>
      </c>
      <c r="AQ112" s="1">
        <v>2.3</v>
      </c>
      <c r="AR112" s="1">
        <v>0.8</v>
      </c>
      <c r="AS112" s="1">
        <v>0.9</v>
      </c>
      <c r="AT112" s="1">
        <v>1.0</v>
      </c>
      <c r="AU112" s="1">
        <v>0.9</v>
      </c>
      <c r="AV112" s="1"/>
      <c r="AW112" s="1">
        <v>0.8</v>
      </c>
      <c r="AX112" s="1"/>
      <c r="AY112" s="1">
        <v>0.6</v>
      </c>
      <c r="AZ112" s="1">
        <v>1.0</v>
      </c>
      <c r="BA112" s="1">
        <v>1.6</v>
      </c>
      <c r="BB112" s="1">
        <v>20.0</v>
      </c>
      <c r="BC112" s="2">
        <v>1.5</v>
      </c>
      <c r="BD112" s="2">
        <v>1.5</v>
      </c>
      <c r="BG112" s="2">
        <v>1.3</v>
      </c>
      <c r="BH112" s="2">
        <v>1.3</v>
      </c>
      <c r="BI112" s="2">
        <v>1.1</v>
      </c>
      <c r="BK112" s="2">
        <v>1.3</v>
      </c>
      <c r="BL112" s="2">
        <v>1.5</v>
      </c>
      <c r="BN112" s="2">
        <v>0.8</v>
      </c>
      <c r="BO112" s="2">
        <v>1.2</v>
      </c>
      <c r="BP112" s="2">
        <v>1.3</v>
      </c>
    </row>
    <row r="113" ht="15.75" customHeight="1">
      <c r="A113" s="11" t="s">
        <v>309</v>
      </c>
      <c r="B113" s="1">
        <v>7.39</v>
      </c>
      <c r="C113" s="1">
        <v>7.44</v>
      </c>
      <c r="D113" s="1"/>
      <c r="E113" s="1">
        <v>7.5</v>
      </c>
      <c r="F113" s="1">
        <v>7.41</v>
      </c>
      <c r="G113" s="1">
        <v>7.38</v>
      </c>
      <c r="H113" s="2">
        <v>7.41</v>
      </c>
      <c r="I113" s="1">
        <v>7.38</v>
      </c>
      <c r="J113" s="1">
        <v>7.47</v>
      </c>
      <c r="K113" s="1"/>
      <c r="L113" s="1">
        <v>7.48</v>
      </c>
      <c r="M113" s="1">
        <v>7.45</v>
      </c>
      <c r="N113" s="1">
        <v>7.42</v>
      </c>
      <c r="O113" s="1">
        <v>7.42</v>
      </c>
      <c r="P113" s="1"/>
      <c r="Q113" s="1">
        <v>7.51</v>
      </c>
      <c r="R113" s="1"/>
      <c r="S113" s="1"/>
      <c r="T113" s="1">
        <v>7.39</v>
      </c>
      <c r="U113" s="1">
        <v>7.43</v>
      </c>
      <c r="V113" s="1">
        <v>7.42</v>
      </c>
      <c r="W113" s="1">
        <v>7.33</v>
      </c>
      <c r="X113" s="1">
        <v>7.46</v>
      </c>
      <c r="Y113" s="1">
        <v>7.45</v>
      </c>
      <c r="Z113" s="1">
        <v>7.4</v>
      </c>
      <c r="AA113" s="1">
        <v>7.42</v>
      </c>
      <c r="AB113" s="1">
        <v>7.45</v>
      </c>
      <c r="AC113" s="1">
        <v>7.39</v>
      </c>
      <c r="AD113" s="1">
        <v>7.41</v>
      </c>
      <c r="AE113" s="1">
        <v>7.4</v>
      </c>
      <c r="AF113" s="1">
        <v>7.45</v>
      </c>
      <c r="AG113" s="1">
        <v>7.43</v>
      </c>
      <c r="AH113" s="1">
        <v>7.41</v>
      </c>
      <c r="AI113" s="1">
        <v>7.39</v>
      </c>
      <c r="AJ113" s="1">
        <v>7.44</v>
      </c>
      <c r="AK113" s="1">
        <v>7.38</v>
      </c>
      <c r="AL113" s="1">
        <v>7.49</v>
      </c>
      <c r="AM113" s="1">
        <v>7.4</v>
      </c>
      <c r="AN113" s="1">
        <v>7.4</v>
      </c>
      <c r="AO113" s="1">
        <v>7.44</v>
      </c>
      <c r="AP113" s="1">
        <v>7.36</v>
      </c>
      <c r="AQ113" s="1">
        <v>7.47</v>
      </c>
      <c r="AR113" s="1">
        <v>7.45</v>
      </c>
      <c r="AS113" s="1">
        <v>7.37</v>
      </c>
      <c r="AT113" s="1">
        <v>7.53</v>
      </c>
      <c r="AU113" s="1">
        <v>7.44</v>
      </c>
      <c r="AV113" s="1">
        <v>7.44</v>
      </c>
      <c r="AW113" s="1">
        <v>7.4</v>
      </c>
      <c r="AX113" s="1">
        <v>7.38</v>
      </c>
      <c r="AY113" s="1">
        <v>7.44</v>
      </c>
      <c r="AZ113" s="1">
        <v>7.4</v>
      </c>
      <c r="BA113" s="1">
        <v>7.49</v>
      </c>
      <c r="BB113" s="1">
        <v>7.21</v>
      </c>
      <c r="BC113" s="2">
        <v>7.37</v>
      </c>
      <c r="BD113" s="2">
        <v>7.46</v>
      </c>
      <c r="BE113" s="2">
        <v>7.4</v>
      </c>
      <c r="BF113" s="2">
        <v>7.42</v>
      </c>
      <c r="BG113" s="2">
        <v>7.39</v>
      </c>
      <c r="BH113" s="2">
        <v>7.4</v>
      </c>
      <c r="BI113" s="2">
        <v>7.44</v>
      </c>
      <c r="BJ113" s="16">
        <v>7.41</v>
      </c>
      <c r="BK113" s="2">
        <v>7.4</v>
      </c>
      <c r="BL113" s="2">
        <v>7.46</v>
      </c>
      <c r="BM113" s="2">
        <v>7.39</v>
      </c>
      <c r="BN113" s="2">
        <v>7.41</v>
      </c>
      <c r="BO113" s="2">
        <v>7.43</v>
      </c>
      <c r="BP113" s="2">
        <v>7.4</v>
      </c>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row>
    <row r="115" ht="15.75" customHeight="1">
      <c r="A115" s="12" t="s">
        <v>311</v>
      </c>
      <c r="B115" s="1"/>
      <c r="C115" s="1"/>
      <c r="D115" s="1"/>
      <c r="E115" s="1"/>
      <c r="F115" s="1"/>
      <c r="G115" s="1"/>
      <c r="H115" s="1"/>
      <c r="I115" s="1"/>
      <c r="J115" s="1"/>
      <c r="K115" s="1"/>
      <c r="L115" s="1"/>
      <c r="M115" s="1"/>
      <c r="N115" s="1" t="s">
        <v>312</v>
      </c>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row>
    <row r="116" ht="15.75" customHeight="1">
      <c r="A116" s="11" t="s">
        <v>313</v>
      </c>
      <c r="B116" s="1">
        <v>0.0</v>
      </c>
      <c r="C116" s="1">
        <v>0.0</v>
      </c>
      <c r="D116" s="1"/>
      <c r="E116" s="1">
        <v>0.0</v>
      </c>
      <c r="F116" s="1">
        <v>0.0</v>
      </c>
      <c r="G116" s="1">
        <v>0.0</v>
      </c>
      <c r="H116" s="1">
        <v>0.0</v>
      </c>
      <c r="I116" s="1">
        <v>0.0</v>
      </c>
      <c r="J116" s="1">
        <v>0.0</v>
      </c>
      <c r="K116" s="1">
        <v>0.0</v>
      </c>
      <c r="L116" s="1">
        <v>0.0</v>
      </c>
      <c r="M116" s="1">
        <v>0.0</v>
      </c>
      <c r="N116" s="1">
        <v>0.0</v>
      </c>
      <c r="O116" s="1">
        <v>0.0</v>
      </c>
      <c r="P116" s="1">
        <v>0.0</v>
      </c>
      <c r="Q116" s="1">
        <v>0.0</v>
      </c>
      <c r="R116" s="1">
        <v>0.0</v>
      </c>
      <c r="S116" s="1"/>
      <c r="T116" s="1">
        <v>0.0</v>
      </c>
      <c r="U116" s="1">
        <v>0.0</v>
      </c>
      <c r="V116" s="1">
        <v>0.0</v>
      </c>
      <c r="W116" s="1">
        <v>0.0</v>
      </c>
      <c r="X116" s="1">
        <v>0.0</v>
      </c>
      <c r="Y116" s="1">
        <v>0.0</v>
      </c>
      <c r="Z116" s="1">
        <v>0.0</v>
      </c>
      <c r="AA116" s="1">
        <v>0.0</v>
      </c>
      <c r="AB116" s="1">
        <v>0.0</v>
      </c>
      <c r="AC116" s="1">
        <v>0.0</v>
      </c>
      <c r="AD116" s="1">
        <v>0.0</v>
      </c>
      <c r="AE116" s="1">
        <v>0.0</v>
      </c>
      <c r="AF116" s="1">
        <v>0.0</v>
      </c>
      <c r="AG116" s="1">
        <v>0.0</v>
      </c>
      <c r="AH116" s="1">
        <v>0.0</v>
      </c>
      <c r="AI116" s="1">
        <v>0.0</v>
      </c>
      <c r="AJ116" s="1">
        <v>0.0</v>
      </c>
      <c r="AK116" s="1">
        <v>0.0</v>
      </c>
      <c r="AL116" s="1">
        <v>0.0</v>
      </c>
      <c r="AM116" s="1">
        <v>0.0</v>
      </c>
      <c r="AN116" s="1">
        <v>0.0</v>
      </c>
      <c r="AO116" s="1">
        <v>0.0</v>
      </c>
      <c r="AP116" s="1">
        <v>0.0</v>
      </c>
      <c r="AQ116" s="1">
        <v>0.0</v>
      </c>
      <c r="AR116" s="1">
        <v>0.0</v>
      </c>
      <c r="AS116" s="1">
        <v>0.0</v>
      </c>
      <c r="AT116" s="1">
        <v>0.0</v>
      </c>
      <c r="AU116" s="1">
        <v>0.0</v>
      </c>
      <c r="AV116" s="1">
        <v>0.0</v>
      </c>
      <c r="AW116" s="1">
        <v>0.0</v>
      </c>
      <c r="AX116" s="1">
        <v>0.0</v>
      </c>
      <c r="AY116" s="1">
        <v>0.0</v>
      </c>
      <c r="AZ116" s="1">
        <v>0.0</v>
      </c>
      <c r="BA116" s="1">
        <v>0.0</v>
      </c>
      <c r="BB116" s="1">
        <v>0.0</v>
      </c>
      <c r="BC116" s="2">
        <v>0.0</v>
      </c>
      <c r="BD116" s="2">
        <v>0.0</v>
      </c>
      <c r="BE116" s="2">
        <v>0.0</v>
      </c>
      <c r="BF116" s="2">
        <v>0.0</v>
      </c>
      <c r="BG116" s="2">
        <v>0.0</v>
      </c>
      <c r="BH116" s="2">
        <v>3.0</v>
      </c>
      <c r="BI116" s="2">
        <v>0.0</v>
      </c>
      <c r="BJ116" s="2">
        <v>0.0</v>
      </c>
      <c r="BK116" s="2">
        <v>0.0</v>
      </c>
      <c r="BL116" s="2">
        <v>0.0</v>
      </c>
      <c r="BM116" s="2">
        <v>0.0</v>
      </c>
      <c r="BN116" s="2">
        <v>0.0</v>
      </c>
      <c r="BO116" s="2">
        <v>0.0</v>
      </c>
      <c r="BP116" s="2">
        <v>0.0</v>
      </c>
    </row>
    <row r="117" ht="15.75" customHeight="1">
      <c r="A117" s="11" t="s">
        <v>314</v>
      </c>
      <c r="B117" s="2">
        <v>4.0</v>
      </c>
      <c r="C117" s="1">
        <v>3.0</v>
      </c>
      <c r="D117" s="1"/>
      <c r="E117" s="1">
        <v>2.5</v>
      </c>
      <c r="F117" s="1">
        <v>0.0</v>
      </c>
      <c r="G117" s="1">
        <v>0.0</v>
      </c>
      <c r="H117" s="1">
        <v>0.0</v>
      </c>
      <c r="I117" s="1">
        <v>0.0</v>
      </c>
      <c r="J117" s="1">
        <v>5.0</v>
      </c>
      <c r="K117" s="1">
        <v>0.0</v>
      </c>
      <c r="L117" s="1">
        <v>5.0</v>
      </c>
      <c r="M117" s="1">
        <v>5.0</v>
      </c>
      <c r="N117" s="1">
        <v>0.0</v>
      </c>
      <c r="O117" s="1">
        <v>5.0</v>
      </c>
      <c r="P117" s="1">
        <v>3.0</v>
      </c>
      <c r="Q117" s="1">
        <v>0.0</v>
      </c>
      <c r="R117" s="1">
        <v>0.0</v>
      </c>
      <c r="S117" s="1"/>
      <c r="T117" s="1">
        <v>5.0</v>
      </c>
      <c r="U117" s="1">
        <v>5.0</v>
      </c>
      <c r="V117" s="1">
        <v>5.0</v>
      </c>
      <c r="W117" s="1">
        <v>5.0</v>
      </c>
      <c r="X117" s="1">
        <v>2.5</v>
      </c>
      <c r="Y117" s="1">
        <v>2.0</v>
      </c>
      <c r="Z117" s="1">
        <v>0.0</v>
      </c>
      <c r="AA117" s="1">
        <v>0.0</v>
      </c>
      <c r="AB117" s="1">
        <v>5.0</v>
      </c>
      <c r="AC117" s="1">
        <v>2.5</v>
      </c>
      <c r="AD117" s="1">
        <v>5.0</v>
      </c>
      <c r="AE117" s="1">
        <v>6.0</v>
      </c>
      <c r="AF117" s="1">
        <v>5.0</v>
      </c>
      <c r="AG117" s="1">
        <v>0.0</v>
      </c>
      <c r="AH117" s="1">
        <v>2.5</v>
      </c>
      <c r="AI117" s="1">
        <v>0.0</v>
      </c>
      <c r="AJ117" s="1">
        <v>0.0</v>
      </c>
      <c r="AK117" s="1">
        <v>5.0</v>
      </c>
      <c r="AL117" s="1">
        <v>0.0</v>
      </c>
      <c r="AM117" s="1">
        <v>0.0</v>
      </c>
      <c r="AN117" s="1">
        <v>5.0</v>
      </c>
      <c r="AO117" s="1">
        <v>0.0</v>
      </c>
      <c r="AP117" s="1">
        <v>0.0</v>
      </c>
      <c r="AQ117" s="1">
        <v>5.0</v>
      </c>
      <c r="AR117" s="1">
        <v>0.0</v>
      </c>
      <c r="AS117" s="1">
        <v>0.0</v>
      </c>
      <c r="AT117" s="1">
        <v>0.0</v>
      </c>
      <c r="AU117" s="1">
        <v>2.5</v>
      </c>
      <c r="AV117" s="1">
        <v>0.0</v>
      </c>
      <c r="AW117" s="1">
        <v>5.0</v>
      </c>
      <c r="AX117" s="1">
        <v>0.0</v>
      </c>
      <c r="AY117" s="1">
        <v>0.0</v>
      </c>
      <c r="AZ117" s="1">
        <v>5.0</v>
      </c>
      <c r="BA117" s="1">
        <v>0.0</v>
      </c>
      <c r="BB117" s="1">
        <v>3.0</v>
      </c>
      <c r="BC117" s="2">
        <v>2.5</v>
      </c>
      <c r="BD117" s="2">
        <v>0.0</v>
      </c>
      <c r="BE117" s="2">
        <v>2.5</v>
      </c>
      <c r="BF117" s="2">
        <v>0.0</v>
      </c>
      <c r="BG117" s="2">
        <v>0.0</v>
      </c>
      <c r="BH117" s="2">
        <v>0.0</v>
      </c>
      <c r="BI117" s="2">
        <v>0.0</v>
      </c>
      <c r="BJ117" s="2">
        <v>0.0</v>
      </c>
      <c r="BK117" s="2">
        <v>0.0</v>
      </c>
      <c r="BL117" s="2">
        <v>7.5</v>
      </c>
      <c r="BM117" s="2">
        <v>0.0</v>
      </c>
      <c r="BN117" s="2">
        <v>2.5</v>
      </c>
      <c r="BO117" s="2">
        <v>5.0</v>
      </c>
      <c r="BP117" s="2">
        <v>5.0</v>
      </c>
    </row>
    <row r="118" ht="15.75" customHeight="1">
      <c r="A118" s="11" t="s">
        <v>315</v>
      </c>
      <c r="B118" s="1">
        <v>0.0</v>
      </c>
      <c r="C118" s="1">
        <v>0.0</v>
      </c>
      <c r="D118" s="1"/>
      <c r="E118" s="1">
        <v>0.0</v>
      </c>
      <c r="F118" s="1">
        <v>0.0</v>
      </c>
      <c r="G118" s="1">
        <v>0.0</v>
      </c>
      <c r="H118" s="1">
        <v>0.0</v>
      </c>
      <c r="I118" s="1">
        <v>0.0</v>
      </c>
      <c r="J118" s="1">
        <v>0.0</v>
      </c>
      <c r="K118" s="1">
        <v>0.0</v>
      </c>
      <c r="L118" s="1">
        <v>0.0</v>
      </c>
      <c r="M118" s="1">
        <v>0.0</v>
      </c>
      <c r="N118" s="1">
        <v>0.01</v>
      </c>
      <c r="O118" s="1">
        <v>0.0</v>
      </c>
      <c r="P118" s="1">
        <v>0.06</v>
      </c>
      <c r="Q118" s="1">
        <v>0.0</v>
      </c>
      <c r="R118" s="1">
        <v>0.0</v>
      </c>
      <c r="S118" s="1"/>
      <c r="T118" s="1">
        <v>0.0</v>
      </c>
      <c r="U118" s="1">
        <v>0.0</v>
      </c>
      <c r="V118" s="1">
        <v>0.0</v>
      </c>
      <c r="W118" s="1">
        <v>0.0</v>
      </c>
      <c r="X118" s="1">
        <v>0.0</v>
      </c>
      <c r="Y118" s="1">
        <v>0.0</v>
      </c>
      <c r="Z118" s="1">
        <v>0.0</v>
      </c>
      <c r="AA118" s="1">
        <v>0.0</v>
      </c>
      <c r="AB118" s="1">
        <v>0.0</v>
      </c>
      <c r="AC118" s="1">
        <v>0.0</v>
      </c>
      <c r="AD118" s="1">
        <v>0.0</v>
      </c>
      <c r="AE118" s="1">
        <v>0.0</v>
      </c>
      <c r="AF118" s="1">
        <v>0.0</v>
      </c>
      <c r="AG118" s="1">
        <v>0.0</v>
      </c>
      <c r="AH118" s="1">
        <v>0.0</v>
      </c>
      <c r="AI118" s="1">
        <v>0.0</v>
      </c>
      <c r="AJ118" s="1">
        <v>0.0</v>
      </c>
      <c r="AK118" s="1">
        <v>0.0</v>
      </c>
      <c r="AL118" s="1">
        <v>0.0</v>
      </c>
      <c r="AM118" s="1">
        <v>0.07</v>
      </c>
      <c r="AN118" s="1">
        <v>0.0</v>
      </c>
      <c r="AO118" s="1">
        <v>0.04</v>
      </c>
      <c r="AP118" s="1">
        <v>0.0</v>
      </c>
      <c r="AQ118" s="1">
        <v>0.0</v>
      </c>
      <c r="AR118" s="1">
        <v>0.0</v>
      </c>
      <c r="AS118" s="1">
        <v>0.0</v>
      </c>
      <c r="AT118" s="1">
        <v>0.0</v>
      </c>
      <c r="AU118" s="1">
        <v>0.0</v>
      </c>
      <c r="AV118" s="1">
        <v>0.0</v>
      </c>
      <c r="AW118" s="1">
        <v>0.0</v>
      </c>
      <c r="AX118" s="1">
        <v>0.0</v>
      </c>
      <c r="AY118" s="1">
        <v>0.0</v>
      </c>
      <c r="AZ118" s="1">
        <v>0.0</v>
      </c>
      <c r="BA118" s="1">
        <v>0.04</v>
      </c>
      <c r="BB118" s="1">
        <v>0.05</v>
      </c>
      <c r="BC118" s="2">
        <v>0.0</v>
      </c>
      <c r="BD118" s="2">
        <v>0.0</v>
      </c>
      <c r="BE118" s="2">
        <v>0.0</v>
      </c>
      <c r="BF118" s="2">
        <v>0.0</v>
      </c>
      <c r="BG118" s="2">
        <v>0.0</v>
      </c>
      <c r="BH118" s="2">
        <v>0.0</v>
      </c>
      <c r="BI118" s="2">
        <v>0.0</v>
      </c>
      <c r="BJ118" s="2">
        <v>0.0</v>
      </c>
      <c r="BK118" s="2">
        <v>0.0</v>
      </c>
      <c r="BL118" s="2">
        <v>0.0</v>
      </c>
      <c r="BM118" s="2">
        <v>0.0</v>
      </c>
      <c r="BN118" s="2">
        <v>0.0</v>
      </c>
      <c r="BO118" s="2">
        <v>0.0</v>
      </c>
      <c r="BP118" s="2">
        <v>0.0</v>
      </c>
    </row>
    <row r="119" ht="15.75" customHeight="1">
      <c r="A119" s="11" t="s">
        <v>316</v>
      </c>
      <c r="B119" s="1">
        <v>0.0</v>
      </c>
      <c r="C119" s="1">
        <v>0.0</v>
      </c>
      <c r="D119" s="1"/>
      <c r="E119" s="1">
        <v>0.0</v>
      </c>
      <c r="F119" s="1">
        <v>0.0</v>
      </c>
      <c r="G119" s="1">
        <v>0.375</v>
      </c>
      <c r="H119" s="1">
        <v>0.125</v>
      </c>
      <c r="I119" s="1">
        <v>0.0</v>
      </c>
      <c r="J119" s="1">
        <v>0.0</v>
      </c>
      <c r="K119" s="1">
        <v>0.0</v>
      </c>
      <c r="L119" s="1">
        <v>0.0</v>
      </c>
      <c r="M119" s="1">
        <v>0.0</v>
      </c>
      <c r="N119" s="1">
        <v>0.0</v>
      </c>
      <c r="O119" s="1">
        <v>0.0</v>
      </c>
      <c r="P119" s="1">
        <v>0.0</v>
      </c>
      <c r="Q119" s="1">
        <v>0.375</v>
      </c>
      <c r="R119" s="1">
        <v>0.0</v>
      </c>
      <c r="S119" s="1"/>
      <c r="T119" s="1">
        <v>0.0</v>
      </c>
      <c r="U119" s="1">
        <v>0.0</v>
      </c>
      <c r="V119" s="1">
        <v>0.0</v>
      </c>
      <c r="W119" s="1">
        <v>0.0</v>
      </c>
      <c r="X119" s="1">
        <v>0.0</v>
      </c>
      <c r="Y119" s="1">
        <v>0.0</v>
      </c>
      <c r="Z119" s="1">
        <v>0.125</v>
      </c>
      <c r="AA119" s="1">
        <v>0.375</v>
      </c>
      <c r="AB119" s="1">
        <v>0.0</v>
      </c>
      <c r="AC119" s="1">
        <v>0.0</v>
      </c>
      <c r="AD119" s="1">
        <v>0.0</v>
      </c>
      <c r="AE119" s="1">
        <v>0.0</v>
      </c>
      <c r="AF119" s="1">
        <v>0.0</v>
      </c>
      <c r="AG119" s="1">
        <v>0.0</v>
      </c>
      <c r="AH119" s="1">
        <v>0.0</v>
      </c>
      <c r="AI119" s="1">
        <v>0.25</v>
      </c>
      <c r="AJ119" s="1">
        <v>0.0</v>
      </c>
      <c r="AK119" s="1">
        <v>0.125</v>
      </c>
      <c r="AL119" s="1">
        <v>0.375</v>
      </c>
      <c r="AM119" s="1">
        <v>0.0</v>
      </c>
      <c r="AN119" s="1">
        <v>0.0</v>
      </c>
      <c r="AO119" s="1">
        <v>0.125</v>
      </c>
      <c r="AP119" s="1">
        <v>0.0</v>
      </c>
      <c r="AQ119" s="1">
        <v>0.0</v>
      </c>
      <c r="AR119" s="1">
        <v>0.0</v>
      </c>
      <c r="AS119" s="1">
        <v>0.5</v>
      </c>
      <c r="AT119" s="1">
        <v>0.25</v>
      </c>
      <c r="AU119" s="1">
        <v>0.0</v>
      </c>
      <c r="AV119" s="1">
        <v>0.25</v>
      </c>
      <c r="AW119" s="1">
        <v>0.5</v>
      </c>
      <c r="AX119" s="1">
        <v>0.5</v>
      </c>
      <c r="AY119" s="1">
        <v>0.375</v>
      </c>
      <c r="AZ119" s="1">
        <v>0.0</v>
      </c>
      <c r="BA119" s="1">
        <v>0.0</v>
      </c>
      <c r="BB119" s="1">
        <v>0.0</v>
      </c>
      <c r="BC119" s="2">
        <v>0.0</v>
      </c>
      <c r="BD119" s="2">
        <v>0.375</v>
      </c>
      <c r="BE119" s="2">
        <v>0.0</v>
      </c>
      <c r="BF119" s="2">
        <v>0.375</v>
      </c>
      <c r="BG119" s="2">
        <v>0.5</v>
      </c>
      <c r="BH119" s="2">
        <v>0.0</v>
      </c>
      <c r="BI119" s="2">
        <v>0.0</v>
      </c>
      <c r="BJ119" s="2">
        <v>0.25</v>
      </c>
      <c r="BK119" s="2">
        <v>0.25</v>
      </c>
      <c r="BL119" s="2">
        <v>0.0</v>
      </c>
      <c r="BM119" s="2">
        <v>0.0</v>
      </c>
      <c r="BN119" s="2">
        <v>0.0</v>
      </c>
      <c r="BO119" s="2">
        <v>0.0</v>
      </c>
      <c r="BP119" s="2">
        <v>0.25</v>
      </c>
    </row>
    <row r="120" ht="15.75" customHeight="1">
      <c r="A120" s="11" t="s">
        <v>317</v>
      </c>
      <c r="B120" s="1">
        <v>0.0</v>
      </c>
      <c r="C120" s="1">
        <v>0.0</v>
      </c>
      <c r="D120" s="1"/>
      <c r="E120" s="1">
        <v>0.0</v>
      </c>
      <c r="F120" s="1">
        <v>0.0</v>
      </c>
      <c r="G120" s="1">
        <v>0.03</v>
      </c>
      <c r="H120" s="1">
        <v>0.0</v>
      </c>
      <c r="I120" s="1">
        <v>0.0</v>
      </c>
      <c r="J120" s="1">
        <v>0.0</v>
      </c>
      <c r="K120" s="10">
        <v>0.03</v>
      </c>
      <c r="L120" s="1">
        <v>0.0</v>
      </c>
      <c r="M120" s="1">
        <v>0.0</v>
      </c>
      <c r="N120" s="1">
        <v>0.06</v>
      </c>
      <c r="O120" s="1">
        <v>0.0</v>
      </c>
      <c r="P120" s="1">
        <v>0.02</v>
      </c>
      <c r="Q120" s="1">
        <v>0.0</v>
      </c>
      <c r="R120" s="1">
        <v>0.0</v>
      </c>
      <c r="S120" s="1"/>
      <c r="T120" s="1">
        <v>0.0</v>
      </c>
      <c r="U120" s="1">
        <v>0.0</v>
      </c>
      <c r="V120" s="1">
        <v>0.0</v>
      </c>
      <c r="W120" s="1">
        <v>0.0</v>
      </c>
      <c r="X120" s="1">
        <v>0.0</v>
      </c>
      <c r="Y120" s="1">
        <v>0.0</v>
      </c>
      <c r="Z120" s="1">
        <v>0.0</v>
      </c>
      <c r="AA120" s="1">
        <v>0.0</v>
      </c>
      <c r="AB120" s="1">
        <v>0.0</v>
      </c>
      <c r="AC120" s="1">
        <v>0.0</v>
      </c>
      <c r="AD120" s="1">
        <v>0.0</v>
      </c>
      <c r="AE120" s="1">
        <v>0.0</v>
      </c>
      <c r="AF120" s="1">
        <v>0.0</v>
      </c>
      <c r="AG120" s="1">
        <v>0.06</v>
      </c>
      <c r="AH120" s="1">
        <v>0.0</v>
      </c>
      <c r="AI120" s="1">
        <v>0.0</v>
      </c>
      <c r="AJ120" s="1">
        <v>0.0</v>
      </c>
      <c r="AK120" s="1">
        <v>0.0</v>
      </c>
      <c r="AL120" s="1">
        <v>0.0</v>
      </c>
      <c r="AM120" s="1">
        <v>0.07</v>
      </c>
      <c r="AN120" s="1">
        <v>0.0</v>
      </c>
      <c r="AO120" s="1">
        <v>0.0</v>
      </c>
      <c r="AP120" s="1">
        <v>0.0</v>
      </c>
      <c r="AQ120" s="1">
        <v>0.0</v>
      </c>
      <c r="AR120" s="1">
        <v>0.0</v>
      </c>
      <c r="AS120" s="1">
        <v>0.0</v>
      </c>
      <c r="AT120" s="1">
        <v>0.0</v>
      </c>
      <c r="AU120" s="1">
        <v>0.12</v>
      </c>
      <c r="AV120" s="1">
        <v>0.0</v>
      </c>
      <c r="AW120" s="1">
        <v>0.05</v>
      </c>
      <c r="AX120" s="1">
        <v>0.0</v>
      </c>
      <c r="AY120" s="1">
        <v>0.0</v>
      </c>
      <c r="AZ120" s="1">
        <v>0.0</v>
      </c>
      <c r="BA120" s="1">
        <v>0.0</v>
      </c>
      <c r="BB120" s="1">
        <v>0.0</v>
      </c>
      <c r="BC120" s="2">
        <v>0.0</v>
      </c>
      <c r="BD120" s="2">
        <v>0.0</v>
      </c>
      <c r="BE120" s="2">
        <v>0.0</v>
      </c>
      <c r="BF120" s="2">
        <v>0.0</v>
      </c>
      <c r="BG120" s="2">
        <v>0.0</v>
      </c>
      <c r="BH120" s="2">
        <v>0.0</v>
      </c>
      <c r="BI120" s="2">
        <v>0.05</v>
      </c>
      <c r="BJ120" s="2">
        <v>0.0</v>
      </c>
      <c r="BK120" s="2">
        <v>0.0</v>
      </c>
      <c r="BL120" s="2">
        <v>0.0</v>
      </c>
      <c r="BM120" s="2">
        <v>0.0</v>
      </c>
      <c r="BN120" s="2">
        <v>0.0</v>
      </c>
      <c r="BO120" s="2">
        <v>0.0</v>
      </c>
      <c r="BP120" s="2">
        <v>0.0</v>
      </c>
    </row>
    <row r="121" ht="15.75" customHeight="1">
      <c r="A121" s="11" t="s">
        <v>318</v>
      </c>
      <c r="B121" s="1">
        <v>0.0</v>
      </c>
      <c r="C121" s="1">
        <v>0.0</v>
      </c>
      <c r="D121" s="1"/>
      <c r="E121" s="1">
        <v>0.0</v>
      </c>
      <c r="F121" s="1">
        <v>0.0</v>
      </c>
      <c r="G121" s="1">
        <v>0.0</v>
      </c>
      <c r="H121" s="1">
        <v>0.0</v>
      </c>
      <c r="I121" s="1">
        <v>0.0</v>
      </c>
      <c r="J121" s="1">
        <v>0.0</v>
      </c>
      <c r="K121" s="1">
        <v>0.0</v>
      </c>
      <c r="L121" s="1">
        <v>0.0</v>
      </c>
      <c r="M121" s="1">
        <v>0.0</v>
      </c>
      <c r="N121" s="1">
        <v>0.04</v>
      </c>
      <c r="O121" s="1">
        <v>0.0</v>
      </c>
      <c r="P121" s="1">
        <v>0.0</v>
      </c>
      <c r="Q121" s="1">
        <v>0.0</v>
      </c>
      <c r="R121" s="1">
        <v>0.0</v>
      </c>
      <c r="S121" s="1"/>
      <c r="T121" s="1">
        <v>0.0</v>
      </c>
      <c r="U121" s="1">
        <v>0.0</v>
      </c>
      <c r="V121" s="1">
        <v>0.0</v>
      </c>
      <c r="W121" s="1">
        <v>0.0</v>
      </c>
      <c r="X121" s="1">
        <v>0.0</v>
      </c>
      <c r="Y121" s="1">
        <v>0.0</v>
      </c>
      <c r="Z121" s="1">
        <v>0.0</v>
      </c>
      <c r="AA121" s="1">
        <v>0.0</v>
      </c>
      <c r="AB121" s="1">
        <v>0.0</v>
      </c>
      <c r="AC121" s="1">
        <v>0.0</v>
      </c>
      <c r="AD121" s="1">
        <v>0.0</v>
      </c>
      <c r="AE121" s="1">
        <v>0.0</v>
      </c>
      <c r="AF121" s="1">
        <v>0.0</v>
      </c>
      <c r="AG121" s="1">
        <v>0.0</v>
      </c>
      <c r="AH121" s="1">
        <v>0.0</v>
      </c>
      <c r="AI121" s="1">
        <v>0.0</v>
      </c>
      <c r="AJ121" s="1">
        <v>0.0</v>
      </c>
      <c r="AK121" s="1">
        <v>0.0</v>
      </c>
      <c r="AL121" s="1">
        <v>0.0</v>
      </c>
      <c r="AM121" s="1">
        <v>0.0</v>
      </c>
      <c r="AN121" s="1">
        <v>0.0</v>
      </c>
      <c r="AO121" s="1">
        <v>0.0</v>
      </c>
      <c r="AP121" s="1">
        <v>0.0</v>
      </c>
      <c r="AQ121" s="1">
        <v>0.0</v>
      </c>
      <c r="AR121" s="1">
        <v>0.0</v>
      </c>
      <c r="AS121" s="1">
        <v>0.0</v>
      </c>
      <c r="AT121" s="1">
        <v>0.0</v>
      </c>
      <c r="AU121" s="1">
        <v>0.04</v>
      </c>
      <c r="AV121" s="1">
        <v>0.0</v>
      </c>
      <c r="AW121" s="1">
        <v>0.0</v>
      </c>
      <c r="AX121" s="1">
        <v>0.0</v>
      </c>
      <c r="AY121" s="1">
        <v>0.0</v>
      </c>
      <c r="AZ121" s="1">
        <v>0.0</v>
      </c>
      <c r="BA121" s="1">
        <v>0.02</v>
      </c>
      <c r="BB121" s="1">
        <v>0.0</v>
      </c>
      <c r="BC121" s="2">
        <v>0.0</v>
      </c>
      <c r="BD121" s="2">
        <v>0.0</v>
      </c>
      <c r="BE121" s="2">
        <v>0.0</v>
      </c>
      <c r="BF121" s="2">
        <v>0.0</v>
      </c>
      <c r="BG121" s="2">
        <v>0.0</v>
      </c>
      <c r="BH121" s="2">
        <v>0.0</v>
      </c>
      <c r="BI121" s="2">
        <v>0.0</v>
      </c>
      <c r="BJ121" s="2">
        <v>0.0</v>
      </c>
      <c r="BK121" s="2">
        <v>0.0</v>
      </c>
      <c r="BL121" s="2">
        <v>0.0</v>
      </c>
      <c r="BM121" s="2">
        <v>0.0</v>
      </c>
      <c r="BN121" s="2">
        <v>0.0</v>
      </c>
      <c r="BO121" s="2">
        <v>0.0</v>
      </c>
      <c r="BP121" s="2">
        <v>0.0</v>
      </c>
    </row>
    <row r="122" ht="15.75" customHeight="1">
      <c r="A122" s="3" t="s">
        <v>319</v>
      </c>
      <c r="B122" s="1">
        <f t="shared" ref="B122:AQ122" si="16"> N(B116) + N(B117) + 100*N(B118) + 10*N(B119) + 100*N(B120) + 10*N(B121)</f>
        <v>4</v>
      </c>
      <c r="C122" s="1">
        <f t="shared" si="16"/>
        <v>3</v>
      </c>
      <c r="D122" s="1">
        <f t="shared" si="16"/>
        <v>0</v>
      </c>
      <c r="E122" s="1">
        <f t="shared" si="16"/>
        <v>2.5</v>
      </c>
      <c r="F122" s="1">
        <f t="shared" si="16"/>
        <v>0</v>
      </c>
      <c r="G122" s="1">
        <f t="shared" si="16"/>
        <v>6.75</v>
      </c>
      <c r="H122" s="1">
        <f t="shared" si="16"/>
        <v>1.25</v>
      </c>
      <c r="I122" s="1">
        <f t="shared" si="16"/>
        <v>0</v>
      </c>
      <c r="J122" s="1">
        <f t="shared" si="16"/>
        <v>5</v>
      </c>
      <c r="K122" s="1">
        <f t="shared" si="16"/>
        <v>3</v>
      </c>
      <c r="L122" s="1">
        <f t="shared" si="16"/>
        <v>5</v>
      </c>
      <c r="M122" s="1">
        <f t="shared" si="16"/>
        <v>5</v>
      </c>
      <c r="N122" s="1">
        <f t="shared" si="16"/>
        <v>7.4</v>
      </c>
      <c r="O122" s="1">
        <f t="shared" si="16"/>
        <v>5</v>
      </c>
      <c r="P122" s="1">
        <f t="shared" si="16"/>
        <v>11</v>
      </c>
      <c r="Q122" s="1">
        <f t="shared" si="16"/>
        <v>3.75</v>
      </c>
      <c r="R122" s="1">
        <f t="shared" si="16"/>
        <v>0</v>
      </c>
      <c r="S122" s="1">
        <f t="shared" si="16"/>
        <v>0</v>
      </c>
      <c r="T122" s="1">
        <f t="shared" si="16"/>
        <v>5</v>
      </c>
      <c r="U122" s="1">
        <f t="shared" si="16"/>
        <v>5</v>
      </c>
      <c r="V122" s="1">
        <f t="shared" si="16"/>
        <v>5</v>
      </c>
      <c r="W122" s="1">
        <f t="shared" si="16"/>
        <v>5</v>
      </c>
      <c r="X122" s="1">
        <f t="shared" si="16"/>
        <v>2.5</v>
      </c>
      <c r="Y122" s="1">
        <f t="shared" si="16"/>
        <v>2</v>
      </c>
      <c r="Z122" s="1">
        <f t="shared" si="16"/>
        <v>1.25</v>
      </c>
      <c r="AA122" s="1">
        <f t="shared" si="16"/>
        <v>3.75</v>
      </c>
      <c r="AB122" s="1">
        <f t="shared" si="16"/>
        <v>5</v>
      </c>
      <c r="AC122" s="1">
        <f t="shared" si="16"/>
        <v>2.5</v>
      </c>
      <c r="AD122" s="1">
        <f t="shared" si="16"/>
        <v>5</v>
      </c>
      <c r="AE122" s="1">
        <f t="shared" si="16"/>
        <v>6</v>
      </c>
      <c r="AF122" s="1">
        <f t="shared" si="16"/>
        <v>5</v>
      </c>
      <c r="AG122" s="1">
        <f t="shared" si="16"/>
        <v>6</v>
      </c>
      <c r="AH122" s="1">
        <f t="shared" si="16"/>
        <v>2.5</v>
      </c>
      <c r="AI122" s="1">
        <f t="shared" si="16"/>
        <v>2.5</v>
      </c>
      <c r="AJ122" s="1">
        <f t="shared" si="16"/>
        <v>0</v>
      </c>
      <c r="AK122" s="1">
        <f t="shared" si="16"/>
        <v>6.25</v>
      </c>
      <c r="AL122" s="1">
        <f t="shared" si="16"/>
        <v>3.75</v>
      </c>
      <c r="AM122" s="1">
        <f t="shared" si="16"/>
        <v>14</v>
      </c>
      <c r="AN122" s="1">
        <f t="shared" si="16"/>
        <v>5</v>
      </c>
      <c r="AO122" s="1">
        <f t="shared" si="16"/>
        <v>5.25</v>
      </c>
      <c r="AP122" s="1">
        <f t="shared" si="16"/>
        <v>0</v>
      </c>
      <c r="AQ122" s="1">
        <f t="shared" si="16"/>
        <v>5</v>
      </c>
      <c r="AR122" s="1">
        <v>0.0</v>
      </c>
      <c r="AS122" s="1">
        <f t="shared" ref="AS122:BP122" si="17"> N(AS116) + N(AS117) + 100*N(AS118) + 10*N(AS119) + 100*N(AS120) + 10*N(AS121)</f>
        <v>5</v>
      </c>
      <c r="AT122" s="1">
        <f t="shared" si="17"/>
        <v>2.5</v>
      </c>
      <c r="AU122" s="1">
        <f t="shared" si="17"/>
        <v>14.9</v>
      </c>
      <c r="AV122" s="1">
        <f t="shared" si="17"/>
        <v>2.5</v>
      </c>
      <c r="AW122" s="1">
        <f t="shared" si="17"/>
        <v>15</v>
      </c>
      <c r="AX122" s="1">
        <f t="shared" si="17"/>
        <v>5</v>
      </c>
      <c r="AY122" s="1">
        <f t="shared" si="17"/>
        <v>3.75</v>
      </c>
      <c r="AZ122" s="1">
        <f t="shared" si="17"/>
        <v>5</v>
      </c>
      <c r="BA122" s="1">
        <f t="shared" si="17"/>
        <v>4.2</v>
      </c>
      <c r="BB122" s="1">
        <f t="shared" si="17"/>
        <v>8</v>
      </c>
      <c r="BC122" s="1">
        <f t="shared" si="17"/>
        <v>2.5</v>
      </c>
      <c r="BD122" s="1">
        <f t="shared" si="17"/>
        <v>3.75</v>
      </c>
      <c r="BE122" s="1">
        <f t="shared" si="17"/>
        <v>2.5</v>
      </c>
      <c r="BF122" s="1">
        <f t="shared" si="17"/>
        <v>3.75</v>
      </c>
      <c r="BG122" s="1">
        <f t="shared" si="17"/>
        <v>5</v>
      </c>
      <c r="BH122" s="1">
        <f t="shared" si="17"/>
        <v>3</v>
      </c>
      <c r="BI122" s="1">
        <f t="shared" si="17"/>
        <v>5</v>
      </c>
      <c r="BJ122" s="1">
        <f t="shared" si="17"/>
        <v>2.5</v>
      </c>
      <c r="BK122" s="1">
        <f t="shared" si="17"/>
        <v>2.5</v>
      </c>
      <c r="BL122" s="1">
        <f t="shared" si="17"/>
        <v>7.5</v>
      </c>
      <c r="BM122" s="1">
        <f t="shared" si="17"/>
        <v>0</v>
      </c>
      <c r="BN122" s="1">
        <f t="shared" si="17"/>
        <v>2.5</v>
      </c>
      <c r="BO122" s="1">
        <f t="shared" si="17"/>
        <v>5</v>
      </c>
      <c r="BP122" s="1">
        <f t="shared" si="17"/>
        <v>7.5</v>
      </c>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row>
    <row r="124" ht="15.75" customHeight="1">
      <c r="A124" s="17" t="s">
        <v>320</v>
      </c>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row>
    <row r="125" ht="15.75" customHeight="1">
      <c r="A125" s="11" t="s">
        <v>321</v>
      </c>
      <c r="B125" s="1">
        <v>30.0</v>
      </c>
      <c r="C125" s="1">
        <v>480.0</v>
      </c>
      <c r="D125" s="1"/>
      <c r="E125" s="1">
        <v>160.0</v>
      </c>
      <c r="F125" s="1">
        <v>360.0</v>
      </c>
      <c r="G125" s="1">
        <v>320.0</v>
      </c>
      <c r="H125" s="1">
        <v>160.0</v>
      </c>
      <c r="I125" s="1">
        <v>0.0</v>
      </c>
      <c r="J125" s="1">
        <v>320.0</v>
      </c>
      <c r="K125" s="1">
        <v>160.0</v>
      </c>
      <c r="L125" s="1">
        <v>480.0</v>
      </c>
      <c r="M125" s="1">
        <v>320.0</v>
      </c>
      <c r="N125" s="1">
        <v>0.0</v>
      </c>
      <c r="O125" s="1">
        <v>320.0</v>
      </c>
      <c r="P125" s="1">
        <v>80.0</v>
      </c>
      <c r="Q125" s="1">
        <v>80.0</v>
      </c>
      <c r="R125" s="1">
        <v>0.0</v>
      </c>
      <c r="S125" s="1"/>
      <c r="T125" s="1">
        <v>160.0</v>
      </c>
      <c r="U125" s="1">
        <v>480.0</v>
      </c>
      <c r="V125" s="1">
        <v>80.0</v>
      </c>
      <c r="W125" s="1">
        <v>480.0</v>
      </c>
      <c r="X125" s="1">
        <v>320.0</v>
      </c>
      <c r="Y125" s="1">
        <v>40.0</v>
      </c>
      <c r="Z125" s="1">
        <v>160.0</v>
      </c>
      <c r="AA125" s="1">
        <v>320.0</v>
      </c>
      <c r="AB125" s="2">
        <v>640.0</v>
      </c>
      <c r="AC125" s="1">
        <v>160.0</v>
      </c>
      <c r="AD125" s="1">
        <v>160.0</v>
      </c>
      <c r="AE125" s="1">
        <v>640.0</v>
      </c>
      <c r="AF125" s="1">
        <v>560.0</v>
      </c>
      <c r="AG125" s="1">
        <v>320.0</v>
      </c>
      <c r="AH125" s="1">
        <v>160.0</v>
      </c>
      <c r="AI125" s="1">
        <v>0.0</v>
      </c>
      <c r="AJ125" s="1"/>
      <c r="AK125" s="1">
        <v>200.0</v>
      </c>
      <c r="AL125" s="1"/>
      <c r="AM125" s="1"/>
      <c r="AN125" s="1"/>
      <c r="AO125" s="1"/>
      <c r="AP125" s="1"/>
      <c r="AQ125" s="1"/>
      <c r="AR125" s="1"/>
      <c r="AS125" s="1"/>
      <c r="AT125" s="1"/>
      <c r="AU125" s="1"/>
      <c r="AV125" s="1"/>
      <c r="AW125" s="1"/>
      <c r="AX125" s="1"/>
      <c r="AY125" s="1"/>
      <c r="AZ125" s="1"/>
      <c r="BA125" s="1"/>
      <c r="BB125" s="1"/>
      <c r="BC125" s="2" t="s">
        <v>322</v>
      </c>
    </row>
    <row r="126" ht="15.75" customHeight="1">
      <c r="A126" s="11" t="s">
        <v>323</v>
      </c>
      <c r="B126" s="1">
        <v>1.0</v>
      </c>
      <c r="C126" s="2">
        <v>0.0</v>
      </c>
      <c r="E126" s="2">
        <v>0.0</v>
      </c>
      <c r="F126" s="2">
        <v>0.0</v>
      </c>
      <c r="G126" s="2">
        <v>0.0</v>
      </c>
      <c r="H126" s="2">
        <v>0.0</v>
      </c>
      <c r="I126" s="2">
        <v>0.0</v>
      </c>
      <c r="J126" s="2">
        <v>0.0</v>
      </c>
      <c r="K126" s="2">
        <v>0.0</v>
      </c>
      <c r="L126" s="2">
        <v>0.0</v>
      </c>
      <c r="M126" s="2">
        <v>0.0</v>
      </c>
      <c r="N126" s="2">
        <v>0.0</v>
      </c>
      <c r="O126" s="2">
        <v>0.0</v>
      </c>
      <c r="P126" s="2">
        <v>0.0</v>
      </c>
      <c r="Q126" s="2">
        <v>1.0</v>
      </c>
      <c r="R126" s="2">
        <v>0.0</v>
      </c>
      <c r="T126" s="2">
        <v>0.0</v>
      </c>
      <c r="U126" s="2">
        <v>0.0</v>
      </c>
      <c r="V126" s="2">
        <v>0.0</v>
      </c>
      <c r="W126" s="2">
        <v>0.0</v>
      </c>
      <c r="X126" s="2">
        <v>0.0</v>
      </c>
      <c r="Y126" s="2">
        <v>0.0</v>
      </c>
      <c r="Z126" s="2">
        <v>0.0</v>
      </c>
      <c r="AA126" s="2">
        <v>0.0</v>
      </c>
      <c r="AB126" s="2">
        <v>0.0</v>
      </c>
      <c r="AC126" s="2">
        <v>0.0</v>
      </c>
      <c r="AD126" s="2">
        <v>0.0</v>
      </c>
      <c r="AE126" s="2">
        <v>1.0</v>
      </c>
      <c r="AF126" s="2">
        <v>1.0</v>
      </c>
      <c r="AG126" s="2">
        <v>0.0</v>
      </c>
      <c r="AH126" s="2">
        <v>1.0</v>
      </c>
      <c r="AI126" s="2">
        <v>0.0</v>
      </c>
      <c r="AK126" s="2">
        <v>0.0</v>
      </c>
      <c r="BC126" s="2" t="s">
        <v>322</v>
      </c>
    </row>
    <row r="127" ht="15.75" customHeight="1">
      <c r="A127" s="1"/>
      <c r="B127" s="1"/>
    </row>
    <row r="128" ht="15.75" customHeight="1">
      <c r="A128" s="17" t="s">
        <v>324</v>
      </c>
      <c r="B128" s="1"/>
    </row>
    <row r="129" ht="15.75" customHeight="1">
      <c r="A129" s="11" t="s">
        <v>321</v>
      </c>
      <c r="B129" s="1">
        <v>160.0</v>
      </c>
      <c r="C129" s="2">
        <v>480.0</v>
      </c>
      <c r="E129" s="2">
        <v>320.0</v>
      </c>
      <c r="F129" s="2">
        <v>160.0</v>
      </c>
      <c r="G129" s="2">
        <v>320.0</v>
      </c>
      <c r="H129" s="2">
        <v>80.0</v>
      </c>
      <c r="I129" s="2">
        <v>0.0</v>
      </c>
      <c r="J129" s="2">
        <v>320.0</v>
      </c>
      <c r="K129" s="2">
        <v>0.0</v>
      </c>
      <c r="L129" s="2">
        <v>480.0</v>
      </c>
      <c r="M129" s="2">
        <v>160.0</v>
      </c>
      <c r="N129" s="2">
        <v>0.0</v>
      </c>
      <c r="O129" s="2">
        <v>640.0</v>
      </c>
      <c r="P129" s="2">
        <v>160.0</v>
      </c>
      <c r="Q129" s="2">
        <v>480.0</v>
      </c>
      <c r="R129" s="2">
        <v>40.0</v>
      </c>
      <c r="T129" s="2">
        <v>80.0</v>
      </c>
      <c r="U129" s="2">
        <v>320.0</v>
      </c>
      <c r="V129" s="2">
        <v>0.0</v>
      </c>
      <c r="W129" s="2">
        <v>160.0</v>
      </c>
      <c r="X129" s="2">
        <v>0.0</v>
      </c>
      <c r="Y129" s="2">
        <v>40.0</v>
      </c>
      <c r="Z129" s="2">
        <v>0.0</v>
      </c>
      <c r="AA129" s="2">
        <v>240.0</v>
      </c>
      <c r="AB129" s="1">
        <v>480.0</v>
      </c>
      <c r="AC129" s="2">
        <v>160.0</v>
      </c>
      <c r="AD129" s="2">
        <v>480.0</v>
      </c>
      <c r="AE129" s="2">
        <v>640.0</v>
      </c>
      <c r="AF129" s="2">
        <v>640.0</v>
      </c>
      <c r="AG129" s="2">
        <v>160.0</v>
      </c>
      <c r="AH129" s="2">
        <v>0.0</v>
      </c>
      <c r="AI129" s="2">
        <v>20.0</v>
      </c>
      <c r="AK129" s="2">
        <v>320.0</v>
      </c>
      <c r="BC129" s="2" t="s">
        <v>322</v>
      </c>
    </row>
    <row r="130" ht="15.75" customHeight="1">
      <c r="A130" s="11" t="s">
        <v>323</v>
      </c>
      <c r="B130" s="1">
        <v>1.0</v>
      </c>
      <c r="C130" s="2">
        <v>1.0</v>
      </c>
      <c r="E130" s="2">
        <v>0.0</v>
      </c>
      <c r="F130" s="2">
        <v>0.0</v>
      </c>
      <c r="G130" s="2">
        <v>0.0</v>
      </c>
      <c r="H130" s="2">
        <v>0.0</v>
      </c>
      <c r="I130" s="2">
        <v>0.0</v>
      </c>
      <c r="J130" s="2">
        <v>0.0</v>
      </c>
      <c r="K130" s="2">
        <v>0.0</v>
      </c>
      <c r="L130" s="2">
        <v>1.0</v>
      </c>
      <c r="M130" s="2">
        <v>0.0</v>
      </c>
      <c r="N130" s="2">
        <v>0.0</v>
      </c>
      <c r="O130" s="2">
        <v>1.0</v>
      </c>
      <c r="P130" s="2">
        <v>0.0</v>
      </c>
      <c r="Q130" s="2">
        <v>0.0</v>
      </c>
      <c r="R130" s="2">
        <v>0.0</v>
      </c>
      <c r="T130" s="2">
        <v>0.0</v>
      </c>
      <c r="U130" s="2">
        <v>0.0</v>
      </c>
      <c r="V130" s="2">
        <v>0.0</v>
      </c>
      <c r="W130" s="2">
        <v>0.0</v>
      </c>
      <c r="X130" s="2">
        <v>0.0</v>
      </c>
      <c r="Y130" s="2">
        <v>0.0</v>
      </c>
      <c r="Z130" s="2">
        <v>0.0</v>
      </c>
      <c r="AA130" s="2">
        <v>0.0</v>
      </c>
      <c r="AB130" s="2">
        <v>0.0</v>
      </c>
      <c r="AC130" s="2">
        <v>0.0</v>
      </c>
      <c r="AD130" s="2">
        <v>0.0</v>
      </c>
      <c r="AE130" s="2">
        <v>1.0</v>
      </c>
      <c r="AF130" s="2">
        <v>1.0</v>
      </c>
      <c r="AG130" s="2">
        <v>0.0</v>
      </c>
      <c r="AH130" s="2">
        <v>0.0</v>
      </c>
      <c r="AI130" s="2">
        <v>0.0</v>
      </c>
      <c r="AK130" s="2">
        <v>0.0</v>
      </c>
      <c r="BC130" s="2" t="s">
        <v>232</v>
      </c>
    </row>
    <row r="131" ht="15.75" customHeight="1">
      <c r="A131" s="1"/>
      <c r="B131" s="1"/>
    </row>
    <row r="132" ht="15.75" customHeight="1">
      <c r="A132" s="4" t="s">
        <v>325</v>
      </c>
      <c r="B132" s="1"/>
    </row>
    <row r="133" ht="15.75" customHeight="1">
      <c r="A133" s="1" t="s">
        <v>326</v>
      </c>
      <c r="B133" s="1">
        <v>8.0</v>
      </c>
      <c r="C133" s="2">
        <v>6.0</v>
      </c>
      <c r="E133" s="2">
        <v>4.0</v>
      </c>
      <c r="F133" s="2">
        <v>7.0</v>
      </c>
      <c r="G133" s="2">
        <v>5.0</v>
      </c>
      <c r="H133" s="2">
        <v>4.0</v>
      </c>
      <c r="I133" s="2">
        <v>6.0</v>
      </c>
      <c r="J133" s="2">
        <v>6.0</v>
      </c>
      <c r="K133" s="2">
        <v>4.0</v>
      </c>
      <c r="L133" s="2">
        <v>6.0</v>
      </c>
      <c r="M133" s="2">
        <v>7.0</v>
      </c>
      <c r="O133" s="2">
        <v>8.0</v>
      </c>
      <c r="P133" s="2">
        <v>6.0</v>
      </c>
      <c r="Q133" s="2">
        <v>8.0</v>
      </c>
      <c r="R133" s="2">
        <v>6.0</v>
      </c>
      <c r="T133" s="2">
        <v>6.0</v>
      </c>
      <c r="U133" s="2">
        <v>7.0</v>
      </c>
      <c r="V133" s="2">
        <v>5.0</v>
      </c>
      <c r="W133" s="2">
        <v>4.0</v>
      </c>
      <c r="X133" s="2">
        <v>7.0</v>
      </c>
      <c r="Y133" s="2">
        <v>8.0</v>
      </c>
      <c r="Z133" s="2">
        <v>5.0</v>
      </c>
      <c r="AA133" s="2">
        <v>6.0</v>
      </c>
      <c r="AB133" s="2">
        <v>4.0</v>
      </c>
      <c r="AC133" s="2">
        <v>6.0</v>
      </c>
      <c r="AD133" s="2">
        <v>5.0</v>
      </c>
      <c r="AE133" s="2">
        <v>7.0</v>
      </c>
      <c r="AF133" s="2">
        <v>5.0</v>
      </c>
      <c r="AG133" s="2">
        <v>4.0</v>
      </c>
      <c r="AH133" s="2">
        <v>6.0</v>
      </c>
      <c r="AI133" s="2">
        <v>4.0</v>
      </c>
      <c r="AJ133" s="2">
        <v>4.0</v>
      </c>
      <c r="AK133" s="2">
        <v>5.0</v>
      </c>
      <c r="AL133" s="2">
        <v>5.0</v>
      </c>
      <c r="AM133" s="2">
        <v>7.0</v>
      </c>
      <c r="AN133" s="2">
        <v>4.0</v>
      </c>
      <c r="AO133" s="2">
        <v>6.0</v>
      </c>
      <c r="AP133" s="2">
        <v>8.0</v>
      </c>
      <c r="AQ133" s="2">
        <v>5.0</v>
      </c>
      <c r="AR133" s="2">
        <v>5.0</v>
      </c>
      <c r="AS133" s="2">
        <v>7.0</v>
      </c>
      <c r="AT133" s="2">
        <v>6.0</v>
      </c>
      <c r="AU133" s="2">
        <v>7.0</v>
      </c>
      <c r="AV133" s="2">
        <v>7.0</v>
      </c>
      <c r="AW133" s="2">
        <v>4.0</v>
      </c>
      <c r="AX133" s="2">
        <v>6.0</v>
      </c>
      <c r="AY133" s="2">
        <v>7.0</v>
      </c>
      <c r="AZ133" s="2">
        <v>5.0</v>
      </c>
      <c r="BA133" s="2">
        <v>7.0</v>
      </c>
      <c r="BB133" s="2">
        <v>6.0</v>
      </c>
      <c r="BC133" s="2" t="s">
        <v>327</v>
      </c>
      <c r="BD133" s="2">
        <v>8.0</v>
      </c>
      <c r="BE133" s="2">
        <v>7.0</v>
      </c>
      <c r="BF133" s="2">
        <v>6.0</v>
      </c>
      <c r="BG133" s="2">
        <v>7.0</v>
      </c>
      <c r="BH133" s="2">
        <v>6.0</v>
      </c>
      <c r="BI133" s="2">
        <v>8.0</v>
      </c>
      <c r="BJ133" s="2">
        <v>7.0</v>
      </c>
      <c r="BK133" s="2">
        <v>7.0</v>
      </c>
      <c r="BL133" s="2">
        <v>7.0</v>
      </c>
      <c r="BM133" s="2">
        <v>5.0</v>
      </c>
      <c r="BN133" s="2">
        <v>7.0</v>
      </c>
      <c r="BO133" s="2">
        <v>5.0</v>
      </c>
      <c r="BP133" s="2">
        <v>8.0</v>
      </c>
    </row>
    <row r="134" ht="15.75" customHeight="1">
      <c r="A134" s="1" t="s">
        <v>328</v>
      </c>
      <c r="B134" s="1">
        <v>4.1</v>
      </c>
      <c r="C134" s="2">
        <v>3.7</v>
      </c>
      <c r="E134" s="2">
        <v>2.1</v>
      </c>
      <c r="F134" s="2">
        <v>4.1</v>
      </c>
      <c r="G134" s="2">
        <v>2.5</v>
      </c>
      <c r="H134" s="2">
        <v>2.1</v>
      </c>
      <c r="I134" s="2">
        <v>3.0</v>
      </c>
      <c r="J134" s="2">
        <v>3.6</v>
      </c>
      <c r="K134" s="2">
        <v>2.2</v>
      </c>
      <c r="L134" s="2">
        <v>3.4</v>
      </c>
      <c r="M134" s="2">
        <v>4.0</v>
      </c>
      <c r="O134" s="2">
        <v>4.8</v>
      </c>
      <c r="P134" s="2">
        <v>3.4</v>
      </c>
      <c r="Q134" s="2">
        <v>5.1</v>
      </c>
      <c r="R134" s="2">
        <v>3.1</v>
      </c>
      <c r="T134" s="2">
        <v>3.6</v>
      </c>
      <c r="U134" s="2">
        <v>4.0</v>
      </c>
      <c r="V134" s="2">
        <v>3.0</v>
      </c>
      <c r="W134" s="2">
        <v>2.6</v>
      </c>
      <c r="X134" s="2">
        <v>4.1</v>
      </c>
      <c r="Y134" s="2">
        <v>4.8</v>
      </c>
      <c r="Z134" s="2">
        <v>2.7</v>
      </c>
      <c r="AA134" s="2">
        <v>3.8</v>
      </c>
      <c r="AB134" s="2">
        <v>2.2</v>
      </c>
      <c r="AC134" s="2">
        <v>3.4</v>
      </c>
      <c r="AD134" s="2">
        <v>2.1</v>
      </c>
      <c r="AE134" s="2">
        <v>4.4</v>
      </c>
      <c r="AF134" s="2">
        <v>2.4</v>
      </c>
      <c r="AG134" s="2">
        <v>2.5</v>
      </c>
      <c r="AH134" s="2">
        <v>3.4</v>
      </c>
      <c r="AI134" s="2">
        <v>2.1</v>
      </c>
      <c r="AJ134" s="2">
        <v>2.0</v>
      </c>
      <c r="AK134" s="2">
        <v>3.4</v>
      </c>
      <c r="AL134" s="2">
        <v>3.1</v>
      </c>
      <c r="AM134" s="2">
        <v>3.8</v>
      </c>
      <c r="AN134" s="2">
        <v>2.7</v>
      </c>
      <c r="AO134" s="2">
        <v>3.6</v>
      </c>
      <c r="AP134" s="2">
        <v>4.3</v>
      </c>
      <c r="AQ134" s="2">
        <v>3.0</v>
      </c>
      <c r="AR134" s="2">
        <v>3.2</v>
      </c>
      <c r="AS134" s="2">
        <v>4.2</v>
      </c>
      <c r="AT134" s="2">
        <v>3.3</v>
      </c>
      <c r="AU134" s="2">
        <v>3.6</v>
      </c>
      <c r="AV134" s="2">
        <v>4.5</v>
      </c>
      <c r="AW134" s="2">
        <v>2.4</v>
      </c>
      <c r="AX134" s="2">
        <v>3.7</v>
      </c>
      <c r="AY134" s="2">
        <v>3.9</v>
      </c>
      <c r="AZ134" s="2">
        <v>3.1</v>
      </c>
      <c r="BA134" s="2">
        <v>3.4</v>
      </c>
      <c r="BB134" s="2">
        <v>2.9</v>
      </c>
      <c r="BC134" s="2">
        <v>4.7</v>
      </c>
      <c r="BD134" s="2">
        <v>4.3</v>
      </c>
      <c r="BE134" s="2">
        <v>4.5</v>
      </c>
      <c r="BF134" s="2">
        <v>3.6</v>
      </c>
      <c r="BG134" s="2">
        <v>4.0</v>
      </c>
      <c r="BH134" s="2">
        <v>3.5</v>
      </c>
      <c r="BI134" s="2">
        <v>4.5</v>
      </c>
      <c r="BJ134" s="2">
        <v>4.0</v>
      </c>
      <c r="BK134" s="2">
        <v>4.1</v>
      </c>
      <c r="BL134" s="2">
        <v>3.7</v>
      </c>
      <c r="BM134" s="2">
        <v>3.0</v>
      </c>
      <c r="BN134" s="2">
        <v>3.8</v>
      </c>
      <c r="BO134" s="2">
        <v>3.5</v>
      </c>
      <c r="BP134" s="2">
        <v>4.9</v>
      </c>
    </row>
    <row r="135" ht="15.75" customHeight="1">
      <c r="A135" s="1"/>
      <c r="B135" s="1"/>
    </row>
    <row r="136" ht="15.75" customHeight="1"/>
    <row r="137" ht="15.75" customHeight="1">
      <c r="A137" s="4" t="s">
        <v>329</v>
      </c>
      <c r="B137" s="6" t="s">
        <v>330</v>
      </c>
      <c r="E137" s="6" t="s">
        <v>331</v>
      </c>
      <c r="Q137" s="6" t="s">
        <v>332</v>
      </c>
      <c r="U137" s="6" t="s">
        <v>333</v>
      </c>
      <c r="Y137" s="6" t="s">
        <v>334</v>
      </c>
      <c r="AI137" s="6" t="s">
        <v>335</v>
      </c>
      <c r="AO137" s="6" t="s">
        <v>336</v>
      </c>
      <c r="BD137" s="6" t="s">
        <v>337</v>
      </c>
    </row>
    <row r="138" ht="15.75" customHeight="1">
      <c r="A138" s="1" t="s">
        <v>338</v>
      </c>
      <c r="B138" s="2">
        <v>0.0</v>
      </c>
      <c r="C138" s="2">
        <v>0.0</v>
      </c>
      <c r="E138" s="2">
        <v>0.0</v>
      </c>
      <c r="F138" s="2">
        <v>0.0</v>
      </c>
      <c r="G138" s="2">
        <v>0.0</v>
      </c>
      <c r="H138" s="2">
        <v>0.0</v>
      </c>
      <c r="I138" s="2">
        <v>0.0</v>
      </c>
      <c r="J138" s="2">
        <v>0.0</v>
      </c>
      <c r="K138" s="2">
        <v>0.0</v>
      </c>
      <c r="L138" s="2">
        <v>1.0</v>
      </c>
      <c r="M138" s="2">
        <v>1.0</v>
      </c>
      <c r="N138" s="2">
        <v>1.0</v>
      </c>
      <c r="O138" s="2">
        <v>0.0</v>
      </c>
      <c r="P138" s="2">
        <v>0.0</v>
      </c>
      <c r="Q138" s="2">
        <v>0.0</v>
      </c>
      <c r="R138" s="2">
        <v>0.0</v>
      </c>
      <c r="T138" s="2">
        <v>0.0</v>
      </c>
      <c r="U138" s="2">
        <v>0.0</v>
      </c>
      <c r="V138" s="2">
        <v>0.0</v>
      </c>
      <c r="W138" s="2">
        <v>1.0</v>
      </c>
      <c r="X138" s="2">
        <v>0.0</v>
      </c>
      <c r="Y138" s="2">
        <v>0.0</v>
      </c>
      <c r="Z138" s="2">
        <v>0.0</v>
      </c>
      <c r="AA138" s="2">
        <v>0.0</v>
      </c>
      <c r="AB138" s="2">
        <v>0.0</v>
      </c>
      <c r="AC138" s="2">
        <v>0.0</v>
      </c>
      <c r="AD138" s="2">
        <v>0.0</v>
      </c>
      <c r="AE138" s="2">
        <v>0.0</v>
      </c>
      <c r="AF138" s="2">
        <v>0.0</v>
      </c>
      <c r="AG138" s="2">
        <v>1.0</v>
      </c>
      <c r="AH138" s="2">
        <v>1.0</v>
      </c>
      <c r="AI138" s="2">
        <v>0.0</v>
      </c>
      <c r="AJ138" s="2">
        <v>0.0</v>
      </c>
      <c r="AK138" s="2">
        <v>0.0</v>
      </c>
      <c r="AL138" s="2">
        <v>0.0</v>
      </c>
      <c r="AM138" s="2">
        <v>0.0</v>
      </c>
      <c r="AN138" s="2">
        <v>0.0</v>
      </c>
      <c r="AO138" s="2">
        <v>0.0</v>
      </c>
      <c r="AP138" s="2">
        <v>0.0</v>
      </c>
      <c r="AQ138" s="2">
        <v>0.0</v>
      </c>
      <c r="AR138" s="2">
        <v>0.0</v>
      </c>
      <c r="AS138" s="2">
        <v>0.0</v>
      </c>
      <c r="AT138" s="2">
        <v>0.0</v>
      </c>
      <c r="AU138" s="2">
        <v>1.0</v>
      </c>
      <c r="AV138" s="2">
        <v>0.0</v>
      </c>
      <c r="AW138" s="2">
        <v>0.0</v>
      </c>
      <c r="AX138" s="2">
        <v>1.0</v>
      </c>
      <c r="AY138" s="2">
        <v>0.0</v>
      </c>
      <c r="AZ138" s="2">
        <v>0.0</v>
      </c>
      <c r="BA138" s="2">
        <v>0.0</v>
      </c>
      <c r="BB138" s="2">
        <v>0.0</v>
      </c>
      <c r="BC138" s="2" t="s">
        <v>339</v>
      </c>
      <c r="BD138" s="2">
        <v>0.0</v>
      </c>
      <c r="BE138" s="2">
        <v>1.0</v>
      </c>
      <c r="BF138" s="2">
        <v>0.0</v>
      </c>
      <c r="BH138" s="2">
        <v>0.0</v>
      </c>
      <c r="BI138" s="2">
        <v>0.0</v>
      </c>
      <c r="BJ138" s="2">
        <v>0.0</v>
      </c>
      <c r="BK138" s="2">
        <v>0.0</v>
      </c>
      <c r="BL138" s="2">
        <v>1.0</v>
      </c>
      <c r="BM138" s="2">
        <v>0.0</v>
      </c>
      <c r="BN138" s="2">
        <v>0.0</v>
      </c>
      <c r="BO138" s="2">
        <v>0.0</v>
      </c>
      <c r="BP138" s="2">
        <v>0.0</v>
      </c>
    </row>
    <row r="139" ht="15.75" customHeight="1">
      <c r="A139" s="1" t="s">
        <v>340</v>
      </c>
      <c r="B139" s="2">
        <v>0.0</v>
      </c>
      <c r="C139" s="2">
        <v>0.0</v>
      </c>
      <c r="E139" s="2">
        <v>0.0</v>
      </c>
      <c r="F139" s="2">
        <v>0.0</v>
      </c>
      <c r="G139" s="2">
        <v>0.0</v>
      </c>
      <c r="H139" s="2">
        <v>0.0</v>
      </c>
      <c r="I139" s="2">
        <v>0.0</v>
      </c>
      <c r="J139" s="2">
        <v>0.0</v>
      </c>
      <c r="K139" s="2">
        <v>0.0</v>
      </c>
      <c r="L139" s="2">
        <v>1.0</v>
      </c>
      <c r="M139" s="2">
        <v>1.0</v>
      </c>
      <c r="N139" s="2">
        <v>1.0</v>
      </c>
      <c r="O139" s="2">
        <v>0.0</v>
      </c>
      <c r="P139" s="2">
        <v>0.0</v>
      </c>
      <c r="Q139" s="2">
        <v>0.0</v>
      </c>
      <c r="R139" s="2">
        <v>0.0</v>
      </c>
      <c r="T139" s="2">
        <v>0.0</v>
      </c>
      <c r="U139" s="2">
        <v>0.0</v>
      </c>
      <c r="V139" s="2">
        <v>0.0</v>
      </c>
      <c r="W139" s="2">
        <v>0.0</v>
      </c>
      <c r="X139" s="2">
        <v>0.0</v>
      </c>
      <c r="Y139" s="2">
        <v>0.0</v>
      </c>
      <c r="Z139" s="2">
        <v>0.0</v>
      </c>
      <c r="AA139" s="2">
        <v>0.0</v>
      </c>
      <c r="AB139" s="2">
        <v>0.0</v>
      </c>
      <c r="AC139" s="2">
        <v>0.0</v>
      </c>
      <c r="AD139" s="2">
        <v>0.0</v>
      </c>
      <c r="AE139" s="2">
        <v>0.0</v>
      </c>
      <c r="AF139" s="2">
        <v>0.0</v>
      </c>
      <c r="AG139" s="2">
        <v>1.0</v>
      </c>
      <c r="AH139" s="2">
        <v>0.0</v>
      </c>
      <c r="AI139" s="2">
        <v>0.0</v>
      </c>
      <c r="AJ139" s="2">
        <v>0.0</v>
      </c>
      <c r="AK139" s="2">
        <v>0.0</v>
      </c>
      <c r="AL139" s="2">
        <v>0.0</v>
      </c>
      <c r="AM139" s="2">
        <v>0.0</v>
      </c>
      <c r="AN139" s="2">
        <v>0.0</v>
      </c>
      <c r="AO139" s="2">
        <v>0.0</v>
      </c>
      <c r="AP139" s="2">
        <v>1.0</v>
      </c>
      <c r="AQ139" s="2">
        <v>0.0</v>
      </c>
      <c r="AR139" s="2">
        <v>0.0</v>
      </c>
      <c r="AS139" s="2">
        <v>0.0</v>
      </c>
      <c r="AT139" s="2">
        <v>0.0</v>
      </c>
      <c r="AU139" s="2">
        <v>1.0</v>
      </c>
      <c r="AV139" s="2">
        <v>0.0</v>
      </c>
      <c r="AW139" s="2">
        <v>0.0</v>
      </c>
      <c r="AX139" s="2">
        <v>0.0</v>
      </c>
      <c r="AY139" s="2">
        <v>0.0</v>
      </c>
      <c r="AZ139" s="2">
        <v>0.0</v>
      </c>
      <c r="BA139" s="2">
        <v>0.0</v>
      </c>
      <c r="BB139" s="2">
        <v>0.0</v>
      </c>
      <c r="BC139" s="2" t="s">
        <v>341</v>
      </c>
      <c r="BD139" s="2">
        <v>0.0</v>
      </c>
      <c r="BE139" s="2">
        <v>0.0</v>
      </c>
      <c r="BF139" s="2">
        <v>0.0</v>
      </c>
      <c r="BH139" s="2">
        <v>0.0</v>
      </c>
      <c r="BI139" s="2">
        <v>0.0</v>
      </c>
      <c r="BJ139" s="2">
        <v>0.0</v>
      </c>
      <c r="BK139" s="2">
        <v>0.0</v>
      </c>
      <c r="BL139" s="2">
        <v>0.0</v>
      </c>
      <c r="BM139" s="2">
        <v>0.0</v>
      </c>
      <c r="BN139" s="2">
        <v>0.0</v>
      </c>
      <c r="BO139" s="2">
        <v>0.0</v>
      </c>
      <c r="BP139" s="2">
        <v>0.0</v>
      </c>
    </row>
    <row r="140" ht="15.75" customHeight="1">
      <c r="A140" s="1" t="s">
        <v>342</v>
      </c>
      <c r="B140" s="2">
        <v>0.0</v>
      </c>
      <c r="C140" s="2">
        <v>1.0</v>
      </c>
      <c r="E140" s="2">
        <v>0.0</v>
      </c>
      <c r="F140" s="2">
        <v>0.0</v>
      </c>
      <c r="G140" s="2">
        <v>0.0</v>
      </c>
      <c r="H140" s="2">
        <v>0.0</v>
      </c>
      <c r="I140" s="2">
        <v>0.0</v>
      </c>
      <c r="J140" s="2">
        <v>0.0</v>
      </c>
      <c r="K140" s="2">
        <v>0.0</v>
      </c>
      <c r="L140" s="2">
        <v>0.0</v>
      </c>
      <c r="M140" s="2">
        <v>1.0</v>
      </c>
      <c r="N140" s="2">
        <v>1.0</v>
      </c>
      <c r="O140" s="2">
        <v>0.0</v>
      </c>
      <c r="P140" s="2">
        <v>0.0</v>
      </c>
      <c r="Q140" s="2">
        <v>0.0</v>
      </c>
      <c r="R140" s="2">
        <v>0.0</v>
      </c>
      <c r="T140" s="2">
        <v>0.0</v>
      </c>
      <c r="U140" s="2">
        <v>0.0</v>
      </c>
      <c r="V140" s="2">
        <v>0.0</v>
      </c>
      <c r="W140" s="2">
        <v>1.0</v>
      </c>
      <c r="X140" s="2">
        <v>0.0</v>
      </c>
      <c r="Y140" s="2">
        <v>0.0</v>
      </c>
      <c r="Z140" s="2">
        <v>0.0</v>
      </c>
      <c r="AA140" s="2">
        <v>1.0</v>
      </c>
      <c r="AB140" s="2">
        <v>0.0</v>
      </c>
      <c r="AC140" s="2">
        <v>0.0</v>
      </c>
      <c r="AD140" s="2">
        <v>0.0</v>
      </c>
      <c r="AE140" s="2">
        <v>0.0</v>
      </c>
      <c r="AF140" s="2">
        <v>0.0</v>
      </c>
      <c r="AG140" s="2">
        <v>0.0</v>
      </c>
      <c r="AH140" s="2">
        <v>1.0</v>
      </c>
      <c r="AI140" s="2">
        <v>1.0</v>
      </c>
      <c r="AJ140" s="2">
        <v>0.0</v>
      </c>
      <c r="AK140" s="2">
        <v>0.0</v>
      </c>
      <c r="AL140" s="2">
        <v>0.0</v>
      </c>
      <c r="AM140" s="2">
        <v>0.0</v>
      </c>
      <c r="AN140" s="2">
        <v>0.0</v>
      </c>
      <c r="AO140" s="2">
        <v>0.0</v>
      </c>
      <c r="AP140" s="2">
        <v>0.0</v>
      </c>
      <c r="AQ140" s="2">
        <v>0.0</v>
      </c>
      <c r="AR140" s="2">
        <v>0.0</v>
      </c>
      <c r="AS140" s="2">
        <v>0.0</v>
      </c>
      <c r="AT140" s="2">
        <v>0.0</v>
      </c>
      <c r="AU140" s="2">
        <v>0.0</v>
      </c>
      <c r="AV140" s="2">
        <v>0.0</v>
      </c>
      <c r="AW140" s="2">
        <v>0.0</v>
      </c>
      <c r="AX140" s="2">
        <v>0.0</v>
      </c>
      <c r="AY140" s="2">
        <v>0.0</v>
      </c>
      <c r="AZ140" s="2">
        <v>1.0</v>
      </c>
      <c r="BA140" s="2">
        <v>0.0</v>
      </c>
      <c r="BB140" s="2">
        <v>0.0</v>
      </c>
      <c r="BC140" s="2" t="s">
        <v>341</v>
      </c>
      <c r="BD140" s="2">
        <v>0.0</v>
      </c>
      <c r="BE140" s="2">
        <v>0.0</v>
      </c>
      <c r="BF140" s="2">
        <v>0.0</v>
      </c>
      <c r="BH140" s="2">
        <v>0.0</v>
      </c>
      <c r="BI140" s="2">
        <v>0.0</v>
      </c>
      <c r="BJ140" s="2">
        <v>0.0</v>
      </c>
      <c r="BK140" s="2">
        <v>1.0</v>
      </c>
      <c r="BL140" s="2">
        <v>1.0</v>
      </c>
      <c r="BM140" s="2">
        <v>0.0</v>
      </c>
      <c r="BN140" s="2">
        <v>0.0</v>
      </c>
      <c r="BO140" s="2">
        <v>0.0</v>
      </c>
      <c r="BP140" s="2">
        <v>0.0</v>
      </c>
    </row>
    <row r="141" ht="15.75" customHeight="1">
      <c r="A141" s="1" t="s">
        <v>343</v>
      </c>
      <c r="B141" s="2">
        <v>3.0</v>
      </c>
      <c r="C141" s="2">
        <v>3.0</v>
      </c>
      <c r="E141" s="2">
        <v>3.0</v>
      </c>
      <c r="F141" s="2">
        <v>3.0</v>
      </c>
      <c r="G141" s="2">
        <v>3.0</v>
      </c>
      <c r="H141" s="2">
        <v>3.0</v>
      </c>
      <c r="I141" s="2">
        <v>3.0</v>
      </c>
      <c r="J141" s="2">
        <v>3.0</v>
      </c>
      <c r="K141" s="2" t="s">
        <v>344</v>
      </c>
      <c r="L141" s="2">
        <v>4.0</v>
      </c>
      <c r="M141" s="2">
        <v>4.0</v>
      </c>
      <c r="N141" s="2">
        <v>4.0</v>
      </c>
      <c r="O141" s="2">
        <v>3.0</v>
      </c>
      <c r="P141" s="2">
        <v>2.0</v>
      </c>
      <c r="Q141" s="2">
        <v>3.0</v>
      </c>
      <c r="R141" s="2">
        <v>3.0</v>
      </c>
      <c r="T141" s="2">
        <v>3.0</v>
      </c>
      <c r="U141" s="2">
        <v>2.0</v>
      </c>
      <c r="V141" s="2">
        <v>3.0</v>
      </c>
      <c r="W141" s="2">
        <v>4.0</v>
      </c>
      <c r="X141" s="2">
        <v>3.0</v>
      </c>
      <c r="Y141" s="2">
        <v>2.0</v>
      </c>
      <c r="Z141" s="2">
        <v>3.0</v>
      </c>
      <c r="AA141" s="2" t="s">
        <v>345</v>
      </c>
      <c r="AB141" s="2">
        <v>4.0</v>
      </c>
      <c r="AC141" s="2">
        <v>3.0</v>
      </c>
      <c r="AD141" s="2">
        <v>2.0</v>
      </c>
      <c r="AE141" s="2">
        <v>4.0</v>
      </c>
      <c r="AF141" s="2">
        <v>2.0</v>
      </c>
      <c r="AG141" s="2">
        <v>4.0</v>
      </c>
      <c r="AH141" s="2">
        <v>2.0</v>
      </c>
      <c r="AI141" s="2">
        <v>3.0</v>
      </c>
      <c r="AJ141" s="2">
        <v>1.0</v>
      </c>
      <c r="AK141" s="2">
        <v>2.0</v>
      </c>
      <c r="AL141" s="2">
        <v>1.0</v>
      </c>
      <c r="AM141" s="2">
        <v>3.0</v>
      </c>
      <c r="AN141" s="2">
        <v>2.0</v>
      </c>
      <c r="AO141" s="2">
        <v>3.0</v>
      </c>
      <c r="AP141" s="2">
        <v>4.0</v>
      </c>
      <c r="AQ141" s="2">
        <v>2.0</v>
      </c>
      <c r="AR141" s="2">
        <v>3.0</v>
      </c>
      <c r="AS141" s="2">
        <v>4.0</v>
      </c>
      <c r="AT141" s="2">
        <v>3.0</v>
      </c>
      <c r="AU141" s="2">
        <v>4.0</v>
      </c>
      <c r="AV141" s="2" t="s">
        <v>345</v>
      </c>
      <c r="AW141" s="2">
        <v>3.0</v>
      </c>
      <c r="AX141" s="2">
        <v>3.0</v>
      </c>
      <c r="AY141" s="2" t="s">
        <v>345</v>
      </c>
      <c r="AZ141" s="2">
        <v>3.0</v>
      </c>
      <c r="BA141" s="2">
        <v>1.0</v>
      </c>
      <c r="BB141" s="2">
        <v>4.0</v>
      </c>
      <c r="BC141" s="2" t="s">
        <v>346</v>
      </c>
      <c r="BD141" s="2">
        <v>2.0</v>
      </c>
      <c r="BE141" s="2">
        <v>3.0</v>
      </c>
      <c r="BF141" s="2">
        <v>3.0</v>
      </c>
      <c r="BH141" s="2">
        <v>3.0</v>
      </c>
      <c r="BI141" s="2">
        <v>3.0</v>
      </c>
      <c r="BJ141" s="2">
        <v>3.0</v>
      </c>
      <c r="BK141" s="2">
        <v>3.0</v>
      </c>
      <c r="BL141" s="2">
        <v>2.0</v>
      </c>
      <c r="BM141" s="2">
        <v>1.0</v>
      </c>
      <c r="BN141" s="2">
        <v>3.0</v>
      </c>
      <c r="BO141" s="2">
        <v>2.0</v>
      </c>
      <c r="BP141" s="2">
        <v>4.0</v>
      </c>
    </row>
    <row r="142" ht="15.75" customHeight="1"/>
    <row r="143" ht="15.75" customHeight="1">
      <c r="A143" s="18" t="s">
        <v>347</v>
      </c>
      <c r="M143" s="6" t="s">
        <v>348</v>
      </c>
      <c r="P143" s="6" t="s">
        <v>349</v>
      </c>
      <c r="R143" s="6" t="s">
        <v>350</v>
      </c>
      <c r="V143" s="6" t="s">
        <v>351</v>
      </c>
      <c r="X143" s="6" t="s">
        <v>352</v>
      </c>
      <c r="Y143" s="2" t="s">
        <v>353</v>
      </c>
      <c r="AI143" s="6" t="s">
        <v>354</v>
      </c>
      <c r="AS143" s="6" t="s">
        <v>355</v>
      </c>
      <c r="AT143" s="6" t="s">
        <v>355</v>
      </c>
      <c r="AX143" s="6" t="s">
        <v>356</v>
      </c>
      <c r="AY143" s="6" t="s">
        <v>355</v>
      </c>
      <c r="BA143" s="6" t="s">
        <v>357</v>
      </c>
      <c r="BB143" s="6" t="s">
        <v>357</v>
      </c>
      <c r="BD143" s="6" t="s">
        <v>358</v>
      </c>
      <c r="BF143" s="6" t="s">
        <v>359</v>
      </c>
      <c r="BJ143" s="6" t="s">
        <v>360</v>
      </c>
      <c r="BN143" s="6" t="s">
        <v>361</v>
      </c>
    </row>
    <row r="144" ht="15.75" customHeight="1">
      <c r="A144" s="19" t="s">
        <v>362</v>
      </c>
      <c r="B144" s="2">
        <v>0.651</v>
      </c>
      <c r="C144" s="2">
        <v>0.524</v>
      </c>
      <c r="E144" s="2">
        <v>0.324</v>
      </c>
      <c r="F144" s="2">
        <v>0.305</v>
      </c>
      <c r="G144" s="2">
        <v>0.07</v>
      </c>
      <c r="H144" s="2">
        <v>0.465</v>
      </c>
      <c r="I144" s="2">
        <v>0.249</v>
      </c>
      <c r="J144" s="2">
        <v>0.538</v>
      </c>
      <c r="K144" s="2">
        <v>0.364</v>
      </c>
      <c r="L144" s="2">
        <v>0.285</v>
      </c>
      <c r="O144" s="2">
        <v>1.163</v>
      </c>
      <c r="Q144" s="2">
        <v>0.579</v>
      </c>
      <c r="T144" s="2">
        <v>0.351</v>
      </c>
      <c r="U144" s="2">
        <v>0.664</v>
      </c>
      <c r="W144" s="2">
        <v>0.606</v>
      </c>
      <c r="X144" s="2">
        <v>0.293</v>
      </c>
      <c r="Z144" s="2">
        <v>0.33</v>
      </c>
      <c r="AA144" s="2">
        <v>0.099</v>
      </c>
      <c r="AB144" s="2">
        <v>0.402</v>
      </c>
      <c r="AC144" s="2" t="s">
        <v>363</v>
      </c>
      <c r="AD144" s="2">
        <v>0.31</v>
      </c>
      <c r="AE144" s="2">
        <v>0.349</v>
      </c>
      <c r="AF144" s="2">
        <v>0.573</v>
      </c>
      <c r="AG144" s="2">
        <v>0.285</v>
      </c>
      <c r="AH144" s="2">
        <v>0.911</v>
      </c>
      <c r="AJ144" s="2">
        <v>0.696</v>
      </c>
      <c r="AK144" s="2">
        <v>0.152</v>
      </c>
      <c r="AL144" s="2">
        <v>0.839</v>
      </c>
      <c r="AM144" s="2">
        <v>0.965</v>
      </c>
      <c r="AN144" s="2">
        <v>0.906</v>
      </c>
      <c r="AO144" s="2">
        <v>0.249</v>
      </c>
      <c r="AP144" s="2">
        <v>0.245</v>
      </c>
      <c r="AQ144" s="2">
        <v>0.64</v>
      </c>
      <c r="AR144" s="2">
        <v>0.425</v>
      </c>
      <c r="AU144" s="2">
        <v>0.24</v>
      </c>
      <c r="AV144" s="2">
        <v>0.768</v>
      </c>
      <c r="AW144" s="2">
        <v>0.417</v>
      </c>
      <c r="AZ144" s="2">
        <v>0.94</v>
      </c>
      <c r="BC144" s="2">
        <v>0.24</v>
      </c>
      <c r="BE144" s="2">
        <v>0.5366</v>
      </c>
      <c r="BF144" s="2">
        <v>2.0</v>
      </c>
      <c r="BG144" s="2">
        <v>0.397</v>
      </c>
      <c r="BH144" s="2">
        <v>0.444</v>
      </c>
      <c r="BI144" s="2">
        <v>0.517</v>
      </c>
      <c r="BK144" s="2">
        <v>1.14</v>
      </c>
      <c r="BL144" s="2">
        <v>0.148</v>
      </c>
      <c r="BM144" s="2">
        <v>0.423</v>
      </c>
      <c r="BO144" s="2">
        <v>2.576</v>
      </c>
      <c r="BP144" s="2">
        <v>0.451</v>
      </c>
    </row>
    <row r="145" ht="15.75" customHeight="1">
      <c r="A145" s="2" t="s">
        <v>364</v>
      </c>
      <c r="B145" s="2">
        <v>0.8</v>
      </c>
      <c r="C145" s="2">
        <v>1.593</v>
      </c>
      <c r="E145" s="2">
        <v>0.64</v>
      </c>
      <c r="F145" s="2">
        <v>1.219</v>
      </c>
      <c r="G145" s="2">
        <v>1.3</v>
      </c>
      <c r="H145" s="2">
        <v>1.21</v>
      </c>
      <c r="I145" s="2">
        <v>0.428</v>
      </c>
      <c r="J145" s="2">
        <v>0.828</v>
      </c>
      <c r="K145" s="2">
        <v>1.322</v>
      </c>
      <c r="L145" s="2">
        <v>0.43</v>
      </c>
      <c r="O145" s="2">
        <v>1.716</v>
      </c>
      <c r="Q145" s="2">
        <v>1.256</v>
      </c>
      <c r="T145" s="2">
        <v>0.79</v>
      </c>
      <c r="U145" s="2">
        <v>1.26</v>
      </c>
      <c r="W145" s="2">
        <v>0.962</v>
      </c>
      <c r="X145" s="2">
        <v>0.728</v>
      </c>
      <c r="Z145" s="2">
        <v>0.721</v>
      </c>
      <c r="AA145" s="2">
        <v>0.432</v>
      </c>
      <c r="AB145" s="2">
        <v>1.324</v>
      </c>
      <c r="AC145" s="2" t="s">
        <v>365</v>
      </c>
      <c r="AD145" s="2">
        <v>1.11</v>
      </c>
      <c r="AE145" s="2">
        <v>1.347</v>
      </c>
      <c r="AF145" s="2">
        <v>3.437</v>
      </c>
      <c r="AG145" s="2">
        <v>1.439</v>
      </c>
      <c r="AH145" s="2">
        <v>2.52</v>
      </c>
      <c r="AJ145" s="2">
        <v>0.654</v>
      </c>
      <c r="AK145" s="2">
        <v>0.87</v>
      </c>
      <c r="AL145" s="2">
        <v>1.455</v>
      </c>
      <c r="AM145" s="2">
        <v>2.017</v>
      </c>
      <c r="AN145" s="2">
        <v>1.985</v>
      </c>
      <c r="AO145" s="2">
        <v>0.661</v>
      </c>
      <c r="AP145" s="2">
        <v>0.511</v>
      </c>
      <c r="AQ145" s="2">
        <v>1.312</v>
      </c>
      <c r="AR145" s="2">
        <v>0.69</v>
      </c>
      <c r="AU145" s="2">
        <v>0.497</v>
      </c>
      <c r="AV145" s="2">
        <v>0.685</v>
      </c>
      <c r="AW145" s="2">
        <v>0.633</v>
      </c>
      <c r="AZ145" s="2">
        <v>1.31</v>
      </c>
      <c r="BC145" s="2">
        <v>0.953</v>
      </c>
      <c r="BE145" s="2">
        <v>0.915</v>
      </c>
      <c r="BF145" s="2">
        <v>2.955</v>
      </c>
      <c r="BG145" s="2">
        <v>1.096</v>
      </c>
      <c r="BH145" s="2">
        <v>0.947</v>
      </c>
      <c r="BI145" s="2">
        <v>0.68</v>
      </c>
      <c r="BK145" s="2">
        <v>1.526</v>
      </c>
      <c r="BL145" s="2">
        <v>0.44</v>
      </c>
      <c r="BM145" s="2">
        <v>0.412</v>
      </c>
      <c r="BO145" s="2">
        <v>2.553</v>
      </c>
      <c r="BP145" s="2">
        <v>1.206</v>
      </c>
    </row>
    <row r="146" ht="15.75" customHeight="1">
      <c r="A146" s="2" t="s">
        <v>366</v>
      </c>
      <c r="B146" s="2">
        <v>0.814</v>
      </c>
      <c r="C146" s="2">
        <v>0.329</v>
      </c>
      <c r="E146" s="2">
        <v>0.506</v>
      </c>
      <c r="F146" s="2">
        <v>0.251</v>
      </c>
      <c r="G146" s="2">
        <v>0.053</v>
      </c>
      <c r="H146" s="2">
        <v>0.385</v>
      </c>
      <c r="I146" s="2">
        <v>0.582</v>
      </c>
      <c r="J146" s="2">
        <v>0.65</v>
      </c>
      <c r="K146" s="2">
        <v>0.275</v>
      </c>
      <c r="L146" s="2">
        <v>0.662</v>
      </c>
      <c r="O146" s="2">
        <v>0.678</v>
      </c>
      <c r="Q146" s="2">
        <v>0.461</v>
      </c>
      <c r="T146" s="2">
        <v>0.444</v>
      </c>
      <c r="U146" s="2">
        <v>0.527</v>
      </c>
      <c r="W146" s="2">
        <v>0.63</v>
      </c>
      <c r="X146" s="2">
        <v>0.403</v>
      </c>
      <c r="Z146" s="2">
        <v>0.462</v>
      </c>
      <c r="AA146" s="2">
        <v>0.229</v>
      </c>
      <c r="AB146" s="2">
        <v>0.304</v>
      </c>
      <c r="AC146" s="2" t="s">
        <v>367</v>
      </c>
      <c r="AD146" s="2">
        <v>0.279</v>
      </c>
      <c r="AE146" s="2">
        <v>0.259</v>
      </c>
      <c r="AF146" s="2">
        <v>0.167</v>
      </c>
      <c r="AG146" s="2">
        <v>0.198</v>
      </c>
      <c r="AH146" s="2">
        <v>0.361</v>
      </c>
      <c r="AJ146" s="2">
        <v>1.064</v>
      </c>
      <c r="AK146" s="2">
        <v>0.175</v>
      </c>
      <c r="AL146" s="2">
        <v>0.57</v>
      </c>
      <c r="AM146" s="2">
        <v>0.478</v>
      </c>
      <c r="AN146" s="2">
        <v>0.457</v>
      </c>
      <c r="AO146" s="2">
        <v>0.377</v>
      </c>
      <c r="AP146" s="2">
        <v>0.479</v>
      </c>
      <c r="AQ146" s="2">
        <v>0.488</v>
      </c>
      <c r="AR146" s="2">
        <v>0.616</v>
      </c>
      <c r="AU146" s="2">
        <v>0.484</v>
      </c>
      <c r="AV146" s="2">
        <v>1.121</v>
      </c>
      <c r="AW146" s="2">
        <v>0.658</v>
      </c>
      <c r="AZ146" s="2">
        <v>0.718</v>
      </c>
      <c r="BC146" s="2">
        <v>0.252</v>
      </c>
      <c r="BE146" s="2">
        <v>0.586</v>
      </c>
      <c r="BF146" s="2">
        <v>0.677</v>
      </c>
      <c r="BG146" s="2">
        <v>0.362</v>
      </c>
      <c r="BH146" s="2">
        <v>0.469</v>
      </c>
      <c r="BI146" s="2">
        <v>0.761</v>
      </c>
      <c r="BK146" s="2">
        <v>0.747</v>
      </c>
      <c r="BL146" s="2">
        <v>0.337</v>
      </c>
      <c r="BM146" s="2">
        <v>1.025</v>
      </c>
      <c r="BO146" s="2">
        <v>1.009</v>
      </c>
      <c r="BP146" s="2">
        <v>0.374</v>
      </c>
    </row>
    <row r="147" ht="15.75" customHeight="1">
      <c r="A147" s="2" t="s">
        <v>368</v>
      </c>
      <c r="B147" s="2">
        <v>46.0</v>
      </c>
      <c r="C147" s="2">
        <v>48.8</v>
      </c>
      <c r="E147" s="2">
        <v>48.0</v>
      </c>
      <c r="F147" s="2">
        <v>34.1</v>
      </c>
      <c r="G147" s="2">
        <v>37.8</v>
      </c>
      <c r="H147" s="2">
        <v>39.8</v>
      </c>
      <c r="I147" s="2">
        <v>23.0</v>
      </c>
      <c r="J147" s="2">
        <v>37.3</v>
      </c>
      <c r="K147" s="2">
        <v>63.5</v>
      </c>
      <c r="L147" s="2">
        <v>22.5</v>
      </c>
      <c r="O147" s="2">
        <v>56.0</v>
      </c>
      <c r="Q147" s="2">
        <v>53.1</v>
      </c>
      <c r="T147" s="2">
        <v>37.6</v>
      </c>
      <c r="U147" s="2">
        <v>36.1</v>
      </c>
      <c r="W147" s="2">
        <v>52.6</v>
      </c>
      <c r="X147" s="2">
        <v>50.7</v>
      </c>
      <c r="Z147" s="2">
        <v>42.8</v>
      </c>
      <c r="AA147" s="2">
        <v>32.8</v>
      </c>
      <c r="AB147" s="2">
        <v>37.1</v>
      </c>
      <c r="AD147" s="2">
        <v>54.8</v>
      </c>
      <c r="AE147" s="2">
        <v>61.1</v>
      </c>
      <c r="AF147" s="2">
        <v>61.9</v>
      </c>
      <c r="AG147" s="2">
        <v>64.5</v>
      </c>
      <c r="AH147" s="2">
        <v>40.8</v>
      </c>
      <c r="AJ147" s="2">
        <v>30.5</v>
      </c>
      <c r="AK147" s="2">
        <v>63.7</v>
      </c>
      <c r="AL147" s="2">
        <v>52.2</v>
      </c>
      <c r="AM147" s="2">
        <v>59.7</v>
      </c>
      <c r="AN147" s="2">
        <v>36.7</v>
      </c>
      <c r="AO147" s="2">
        <v>37.8</v>
      </c>
      <c r="AP147" s="2">
        <v>33.5</v>
      </c>
      <c r="AQ147" s="2">
        <v>41.2</v>
      </c>
      <c r="AR147" s="2">
        <v>37.1</v>
      </c>
      <c r="AU147" s="2">
        <v>41.0</v>
      </c>
      <c r="AV147" s="2">
        <v>35.5</v>
      </c>
      <c r="AW147" s="2">
        <v>25.2</v>
      </c>
      <c r="AZ147" s="2">
        <v>44.1</v>
      </c>
      <c r="BC147" s="2">
        <v>45.4</v>
      </c>
      <c r="BE147" s="2">
        <v>43.9</v>
      </c>
      <c r="BF147" s="2">
        <v>45.5</v>
      </c>
      <c r="BG147" s="2">
        <v>54.8</v>
      </c>
      <c r="BH147" s="2">
        <v>27.7</v>
      </c>
      <c r="BI147" s="2">
        <v>31.2</v>
      </c>
      <c r="BK147" s="2">
        <v>55.3</v>
      </c>
      <c r="BL147" s="2">
        <v>32.8</v>
      </c>
      <c r="BM147" s="2">
        <v>23.9</v>
      </c>
      <c r="BO147" s="2">
        <v>49.8</v>
      </c>
      <c r="BP147" s="2">
        <v>52.8</v>
      </c>
    </row>
    <row r="148" ht="15.75" customHeight="1">
      <c r="A148" s="2" t="s">
        <v>369</v>
      </c>
      <c r="B148" s="2">
        <v>17.4</v>
      </c>
      <c r="C148" s="2">
        <v>17.7</v>
      </c>
      <c r="E148" s="2">
        <v>8.9</v>
      </c>
      <c r="F148" s="2">
        <v>139.7</v>
      </c>
      <c r="G148" s="2">
        <v>7.2</v>
      </c>
      <c r="H148" s="2">
        <v>10.4</v>
      </c>
      <c r="I148" s="2">
        <v>5.4</v>
      </c>
      <c r="J148" s="2">
        <v>19.4</v>
      </c>
      <c r="K148" s="2">
        <v>15.2</v>
      </c>
      <c r="L148" s="2">
        <v>9.4</v>
      </c>
      <c r="O148" s="2">
        <v>14.2</v>
      </c>
      <c r="Q148" s="2">
        <v>19.1</v>
      </c>
      <c r="T148" s="2">
        <v>20.8</v>
      </c>
      <c r="U148" s="2">
        <v>17.1</v>
      </c>
      <c r="W148" s="2">
        <v>17.3</v>
      </c>
      <c r="X148" s="2">
        <v>18.8</v>
      </c>
      <c r="Z148" s="2">
        <v>21.8</v>
      </c>
      <c r="AA148" s="2">
        <v>8.4</v>
      </c>
      <c r="AB148" s="2">
        <v>27.3</v>
      </c>
      <c r="AD148" s="2">
        <v>7.4</v>
      </c>
      <c r="AE148" s="2">
        <v>23.3</v>
      </c>
      <c r="AF148" s="2">
        <v>29.5</v>
      </c>
      <c r="AG148" s="2">
        <v>20.5</v>
      </c>
      <c r="AH148" s="2">
        <v>16.9</v>
      </c>
      <c r="AJ148" s="2">
        <v>20.8</v>
      </c>
      <c r="AK148" s="2">
        <v>23.8</v>
      </c>
      <c r="AL148" s="2">
        <v>17.8</v>
      </c>
      <c r="AM148" s="2">
        <v>6.7</v>
      </c>
      <c r="AN148" s="2">
        <v>12.5</v>
      </c>
      <c r="AO148" s="2">
        <v>9.7</v>
      </c>
      <c r="AP148" s="2">
        <v>12.8</v>
      </c>
      <c r="AQ148" s="2">
        <v>20.6</v>
      </c>
      <c r="AR148" s="2">
        <v>10.9</v>
      </c>
      <c r="AU148" s="2">
        <v>15.2</v>
      </c>
      <c r="AV148" s="2">
        <v>11.7</v>
      </c>
      <c r="AW148" s="2">
        <v>19.5</v>
      </c>
      <c r="AZ148" s="2">
        <v>23.8</v>
      </c>
      <c r="BC148" s="2">
        <v>15.0</v>
      </c>
      <c r="BE148" s="2">
        <v>19.4</v>
      </c>
      <c r="BF148" s="2">
        <v>17.5</v>
      </c>
      <c r="BG148" s="2">
        <v>23.9</v>
      </c>
      <c r="BH148" s="2">
        <v>7.9</v>
      </c>
      <c r="BI148" s="2">
        <v>5.6</v>
      </c>
      <c r="BK148" s="2">
        <v>17.8</v>
      </c>
      <c r="BL148" s="2">
        <v>3.2</v>
      </c>
      <c r="BM148" s="2">
        <v>8.2</v>
      </c>
      <c r="BO148" s="2">
        <v>27.7</v>
      </c>
      <c r="BP148" s="2">
        <v>31.9</v>
      </c>
    </row>
    <row r="149" ht="15.75" customHeight="1">
      <c r="A149" s="2" t="s">
        <v>370</v>
      </c>
      <c r="B149" s="2">
        <v>83.4</v>
      </c>
      <c r="C149" s="2">
        <v>64.8</v>
      </c>
      <c r="E149" s="2">
        <v>72.3</v>
      </c>
      <c r="F149" s="2">
        <v>42.7</v>
      </c>
      <c r="G149" s="2">
        <v>39.8</v>
      </c>
      <c r="H149" s="2">
        <v>55.1</v>
      </c>
      <c r="I149" s="2">
        <v>36.5</v>
      </c>
      <c r="J149" s="2">
        <v>61.5</v>
      </c>
      <c r="K149" s="2">
        <v>80.9</v>
      </c>
      <c r="L149" s="2">
        <v>37.4</v>
      </c>
      <c r="O149" s="2">
        <v>93.9</v>
      </c>
      <c r="Q149" s="2">
        <v>77.6</v>
      </c>
      <c r="T149" s="2">
        <v>54.3</v>
      </c>
      <c r="U149" s="2">
        <v>55.2</v>
      </c>
      <c r="W149" s="2">
        <v>85.7</v>
      </c>
      <c r="X149" s="2">
        <v>71.1</v>
      </c>
      <c r="Z149" s="2">
        <v>62.5</v>
      </c>
      <c r="AA149" s="2">
        <v>40.3</v>
      </c>
      <c r="AB149" s="2">
        <v>48.3</v>
      </c>
      <c r="AD149" s="2">
        <v>70.11</v>
      </c>
      <c r="AE149" s="2">
        <v>77.0</v>
      </c>
      <c r="AF149" s="2">
        <v>72.2</v>
      </c>
      <c r="AG149" s="2">
        <v>77.2</v>
      </c>
      <c r="AH149" s="2">
        <v>55.6</v>
      </c>
      <c r="AJ149" s="2">
        <v>63.0</v>
      </c>
      <c r="AK149" s="2">
        <v>74.8</v>
      </c>
      <c r="AL149" s="2">
        <v>82.0</v>
      </c>
      <c r="AM149" s="2">
        <v>88.3</v>
      </c>
      <c r="AN149" s="2">
        <v>53.5</v>
      </c>
      <c r="AO149" s="2">
        <v>52.0</v>
      </c>
      <c r="AP149" s="2">
        <v>49.6</v>
      </c>
      <c r="AQ149" s="2">
        <v>61.4</v>
      </c>
      <c r="AR149" s="2">
        <v>59.9</v>
      </c>
      <c r="AU149" s="2">
        <v>60.9</v>
      </c>
      <c r="AV149" s="2">
        <v>75.3</v>
      </c>
      <c r="AW149" s="2">
        <v>41.7</v>
      </c>
      <c r="AZ149" s="2">
        <v>75.8</v>
      </c>
      <c r="BC149" s="2">
        <v>56.8</v>
      </c>
      <c r="BE149" s="2">
        <v>69.7</v>
      </c>
      <c r="BF149" s="2">
        <v>76.4</v>
      </c>
      <c r="BG149" s="2">
        <v>74.6</v>
      </c>
      <c r="BH149" s="2">
        <v>40.7</v>
      </c>
      <c r="BI149" s="2">
        <v>54.9</v>
      </c>
      <c r="BK149" s="2">
        <v>96.5</v>
      </c>
      <c r="BL149" s="2">
        <v>43.8</v>
      </c>
      <c r="BM149" s="2">
        <v>48.4</v>
      </c>
      <c r="BO149" s="2">
        <v>100.0</v>
      </c>
      <c r="BP149" s="2">
        <v>72.6</v>
      </c>
    </row>
    <row r="150" ht="15.75" customHeight="1">
      <c r="A150" s="2" t="s">
        <v>371</v>
      </c>
      <c r="B150" s="2">
        <v>70.7</v>
      </c>
      <c r="C150" s="2">
        <v>93.1</v>
      </c>
      <c r="E150" s="2">
        <v>148.0</v>
      </c>
      <c r="F150" s="2">
        <v>111.7</v>
      </c>
      <c r="G150" s="2">
        <v>543.7</v>
      </c>
      <c r="H150" s="2">
        <v>85.5</v>
      </c>
      <c r="I150" s="2">
        <v>92.5</v>
      </c>
      <c r="J150" s="2">
        <v>69.2</v>
      </c>
      <c r="K150" s="2">
        <v>174.5</v>
      </c>
      <c r="L150" s="2">
        <v>79.0</v>
      </c>
      <c r="O150" s="2">
        <v>48.1</v>
      </c>
      <c r="Q150" s="2">
        <v>91.7</v>
      </c>
      <c r="T150" s="2">
        <v>107.2</v>
      </c>
      <c r="U150" s="2">
        <v>54.4</v>
      </c>
      <c r="W150" s="2">
        <v>86.8</v>
      </c>
      <c r="X150" s="2">
        <v>172.6</v>
      </c>
      <c r="Z150" s="2">
        <v>128.3</v>
      </c>
      <c r="AA150" s="2">
        <v>331.3</v>
      </c>
      <c r="AB150" s="2">
        <v>92.1</v>
      </c>
      <c r="AD150" s="2">
        <v>175.0</v>
      </c>
      <c r="AE150" s="2">
        <v>175.1</v>
      </c>
      <c r="AF150" s="2">
        <v>108.0</v>
      </c>
      <c r="AG150" s="2">
        <v>226.5</v>
      </c>
      <c r="AH150" s="2">
        <v>44.8</v>
      </c>
      <c r="AJ150" s="2">
        <v>43.9</v>
      </c>
      <c r="AK150" s="2">
        <v>419.1</v>
      </c>
      <c r="AL150" s="2">
        <v>62.9</v>
      </c>
      <c r="AM150" s="2">
        <v>61.9</v>
      </c>
      <c r="AN150" s="2">
        <v>40.5</v>
      </c>
      <c r="AO150" s="2">
        <v>151.7</v>
      </c>
      <c r="AP150" s="2">
        <v>136.8</v>
      </c>
      <c r="AQ150" s="2">
        <v>64.4</v>
      </c>
      <c r="AR150" s="2">
        <v>87.2</v>
      </c>
      <c r="AU150" s="2">
        <v>170.8</v>
      </c>
      <c r="AV150" s="2">
        <v>46.2</v>
      </c>
      <c r="AW150" s="2">
        <v>60.4</v>
      </c>
      <c r="AZ150" s="2">
        <v>47.0</v>
      </c>
      <c r="BC150" s="2">
        <v>189.0</v>
      </c>
      <c r="BE150" s="2">
        <v>81.8</v>
      </c>
      <c r="BF150" s="2">
        <v>22.8</v>
      </c>
      <c r="BG150" s="2">
        <v>138.1</v>
      </c>
      <c r="BH150" s="2">
        <v>62.4</v>
      </c>
      <c r="BI150" s="2">
        <v>60.2</v>
      </c>
      <c r="BK150" s="2">
        <v>48.5</v>
      </c>
      <c r="BL150" s="2">
        <v>221.2</v>
      </c>
      <c r="BM150" s="2">
        <v>56.5</v>
      </c>
      <c r="BO150" s="2">
        <v>19.3</v>
      </c>
      <c r="BP150" s="2">
        <v>117.0</v>
      </c>
    </row>
    <row r="151" ht="15.75" customHeight="1">
      <c r="A151" s="2" t="s">
        <v>372</v>
      </c>
      <c r="B151" s="2">
        <v>128.2</v>
      </c>
      <c r="C151" s="2">
        <v>123.7</v>
      </c>
      <c r="E151" s="2">
        <v>222.9</v>
      </c>
      <c r="F151" s="2">
        <v>139.7</v>
      </c>
      <c r="G151" s="2">
        <v>572.7</v>
      </c>
      <c r="H151" s="2">
        <v>118.4</v>
      </c>
      <c r="I151" s="2">
        <v>146.3</v>
      </c>
      <c r="J151" s="2">
        <v>114.2</v>
      </c>
      <c r="K151" s="2">
        <v>222.5</v>
      </c>
      <c r="L151" s="2">
        <v>131.3</v>
      </c>
      <c r="O151" s="2">
        <v>80.7</v>
      </c>
      <c r="Q151" s="2">
        <v>134.0</v>
      </c>
      <c r="T151" s="2">
        <v>154.8</v>
      </c>
      <c r="U151" s="2">
        <v>83.1</v>
      </c>
      <c r="W151" s="2">
        <v>141.5</v>
      </c>
      <c r="X151" s="2">
        <v>242.2</v>
      </c>
      <c r="Z151" s="2">
        <v>187.6</v>
      </c>
      <c r="AA151" s="2">
        <v>407.2</v>
      </c>
      <c r="AB151" s="2">
        <v>12.0</v>
      </c>
      <c r="AD151" s="2">
        <v>224.0</v>
      </c>
      <c r="AE151" s="2">
        <v>220.5</v>
      </c>
      <c r="AF151" s="2">
        <v>126.0</v>
      </c>
      <c r="AG151" s="2">
        <v>271.3</v>
      </c>
      <c r="AH151" s="2">
        <v>61.0</v>
      </c>
      <c r="AJ151" s="2">
        <v>90.5</v>
      </c>
      <c r="AK151" s="2">
        <v>492.3</v>
      </c>
      <c r="AL151" s="2">
        <v>98.8</v>
      </c>
      <c r="AM151" s="2">
        <v>91.5</v>
      </c>
      <c r="AN151" s="2">
        <v>59.0</v>
      </c>
      <c r="AO151" s="2">
        <v>208.8</v>
      </c>
      <c r="AP151" s="2">
        <v>202.3</v>
      </c>
      <c r="AQ151" s="2">
        <v>95.9</v>
      </c>
      <c r="AR151" s="2">
        <v>141.0</v>
      </c>
      <c r="AU151" s="2">
        <v>253.4</v>
      </c>
      <c r="AV151" s="2">
        <v>97.9</v>
      </c>
      <c r="AW151" s="2">
        <v>100.1</v>
      </c>
      <c r="AZ151" s="2">
        <v>80.7</v>
      </c>
      <c r="BC151" s="2">
        <v>236.6</v>
      </c>
      <c r="BE151" s="2">
        <v>129.8</v>
      </c>
      <c r="BF151" s="2">
        <v>38.2</v>
      </c>
      <c r="BG151" s="2">
        <v>188.1</v>
      </c>
      <c r="BH151" s="2">
        <v>91.6</v>
      </c>
      <c r="BI151" s="2">
        <v>106.1</v>
      </c>
      <c r="BK151" s="2">
        <v>84.7</v>
      </c>
      <c r="BL151" s="2">
        <v>295.9</v>
      </c>
      <c r="BM151" s="2">
        <v>114.4</v>
      </c>
      <c r="BO151" s="2">
        <v>38.8</v>
      </c>
      <c r="BP151" s="2">
        <v>160.8</v>
      </c>
    </row>
    <row r="152" ht="15.75" customHeight="1">
      <c r="A152" s="2" t="s">
        <v>244</v>
      </c>
      <c r="B152" s="2">
        <v>57.5</v>
      </c>
      <c r="C152" s="2">
        <v>30.6</v>
      </c>
      <c r="E152" s="2">
        <v>74.9</v>
      </c>
      <c r="F152" s="2">
        <v>28.0</v>
      </c>
      <c r="G152" s="2">
        <v>29.0</v>
      </c>
      <c r="H152" s="2">
        <v>32.9</v>
      </c>
      <c r="I152" s="2">
        <v>53.8</v>
      </c>
      <c r="J152" s="2">
        <v>45.0</v>
      </c>
      <c r="K152" s="2">
        <v>48.0</v>
      </c>
      <c r="L152" s="2">
        <v>52.3</v>
      </c>
      <c r="O152" s="2">
        <v>32.6</v>
      </c>
      <c r="Q152" s="2">
        <v>42.3</v>
      </c>
      <c r="T152" s="2">
        <v>47.6</v>
      </c>
      <c r="U152" s="2">
        <v>28.7</v>
      </c>
      <c r="W152" s="2">
        <v>54.7</v>
      </c>
      <c r="X152" s="2">
        <v>69.6</v>
      </c>
      <c r="Z152" s="2">
        <v>59.3</v>
      </c>
      <c r="AA152" s="2">
        <v>75.9</v>
      </c>
      <c r="AB152" s="2">
        <v>28.0</v>
      </c>
      <c r="AD152" s="2">
        <v>49.0</v>
      </c>
      <c r="AE152" s="2">
        <v>45.4</v>
      </c>
      <c r="AF152" s="2">
        <v>18.0</v>
      </c>
      <c r="AG152" s="2">
        <v>44.8</v>
      </c>
      <c r="AH152" s="2">
        <v>16.2</v>
      </c>
      <c r="AJ152" s="2">
        <v>46.7</v>
      </c>
      <c r="AK152" s="2">
        <v>73.2</v>
      </c>
      <c r="AL152" s="2">
        <v>35.9</v>
      </c>
      <c r="AM152" s="2">
        <v>29.6</v>
      </c>
      <c r="AN152" s="2">
        <v>18.5</v>
      </c>
      <c r="AO152" s="2">
        <v>57.1</v>
      </c>
      <c r="AP152" s="2">
        <v>65.6</v>
      </c>
      <c r="AQ152" s="2">
        <v>31.4</v>
      </c>
      <c r="AR152" s="2">
        <v>53.7</v>
      </c>
      <c r="AU152" s="2">
        <v>82.6</v>
      </c>
      <c r="AV152" s="2">
        <v>51.8</v>
      </c>
      <c r="AW152" s="2">
        <v>39.7</v>
      </c>
      <c r="AZ152" s="2">
        <v>33.7</v>
      </c>
      <c r="BC152" s="2">
        <v>47.6</v>
      </c>
      <c r="BE152" s="2">
        <v>48.0</v>
      </c>
      <c r="BF152" s="2">
        <v>15.4</v>
      </c>
      <c r="BG152" s="2">
        <v>50.0</v>
      </c>
      <c r="BH152" s="2">
        <v>29.2</v>
      </c>
      <c r="BI152" s="2">
        <v>45.8</v>
      </c>
      <c r="BK152" s="2">
        <v>36.2</v>
      </c>
      <c r="BL152" s="2">
        <v>74.6</v>
      </c>
      <c r="BM152" s="2">
        <v>57.9</v>
      </c>
      <c r="BO152" s="2">
        <v>19.5</v>
      </c>
      <c r="BP152" s="2">
        <v>43.8</v>
      </c>
    </row>
    <row r="153" ht="15.75" customHeight="1">
      <c r="A153" s="2" t="s">
        <v>373</v>
      </c>
      <c r="B153" s="2">
        <v>480.4</v>
      </c>
      <c r="C153" s="2">
        <v>374.2</v>
      </c>
      <c r="E153" s="2">
        <v>503.1</v>
      </c>
      <c r="F153" s="2">
        <v>318.7</v>
      </c>
      <c r="G153" s="2">
        <v>643.6</v>
      </c>
      <c r="H153" s="2">
        <v>313.6</v>
      </c>
      <c r="I153" s="2">
        <v>240.4</v>
      </c>
      <c r="J153" s="2">
        <v>373.5</v>
      </c>
      <c r="K153" s="2">
        <v>513.0</v>
      </c>
      <c r="L153" s="2">
        <v>229.3</v>
      </c>
      <c r="O153" s="2">
        <v>620.6</v>
      </c>
      <c r="Q153" s="2">
        <v>486.2</v>
      </c>
      <c r="T153" s="2">
        <v>309.0</v>
      </c>
      <c r="U153" s="2">
        <v>437.9</v>
      </c>
      <c r="W153" s="2">
        <v>579.7</v>
      </c>
      <c r="X153" s="2">
        <v>436.6</v>
      </c>
      <c r="Z153" s="2">
        <v>253.5</v>
      </c>
      <c r="AA153" s="2">
        <v>262.9</v>
      </c>
      <c r="AB153" s="2">
        <v>165.2</v>
      </c>
      <c r="AD153" s="2">
        <v>450.0</v>
      </c>
      <c r="AE153" s="2">
        <v>366.7</v>
      </c>
      <c r="AF153" s="2">
        <v>369.7</v>
      </c>
      <c r="AG153" s="2">
        <v>502.4</v>
      </c>
      <c r="AH153" s="2">
        <v>246.2</v>
      </c>
      <c r="AJ153" s="2">
        <v>431.6</v>
      </c>
      <c r="AK153" s="2">
        <v>354.2</v>
      </c>
      <c r="AL153" s="2">
        <v>522.9</v>
      </c>
      <c r="AM153" s="2">
        <v>622.3</v>
      </c>
      <c r="AN153" s="2">
        <v>278.0</v>
      </c>
      <c r="AO153" s="2">
        <v>349.1</v>
      </c>
      <c r="AP153" s="2">
        <v>286.2</v>
      </c>
      <c r="AQ153" s="2">
        <v>358.6</v>
      </c>
      <c r="AR153" s="2">
        <v>397.4</v>
      </c>
      <c r="AU153" s="2">
        <v>455.9</v>
      </c>
      <c r="AV153" s="2">
        <v>439.9</v>
      </c>
      <c r="AW153" s="2">
        <v>157.6</v>
      </c>
      <c r="AZ153" s="2">
        <v>512.2</v>
      </c>
      <c r="BC153" s="2">
        <v>308.1</v>
      </c>
      <c r="BE153" s="2">
        <v>418.1</v>
      </c>
      <c r="BF153" s="2">
        <v>423.1</v>
      </c>
      <c r="BG153" s="2">
        <v>455.1</v>
      </c>
      <c r="BH153" s="2">
        <v>280.3</v>
      </c>
      <c r="BI153" s="2">
        <v>497.6</v>
      </c>
      <c r="BK153" s="2">
        <v>752.9</v>
      </c>
      <c r="BL153" s="2">
        <v>446.7</v>
      </c>
      <c r="BM153" s="2">
        <v>374.6</v>
      </c>
      <c r="BO153" s="2">
        <v>793.0</v>
      </c>
      <c r="BP153" s="2">
        <v>419.1</v>
      </c>
    </row>
    <row r="154" ht="15.75" customHeight="1">
      <c r="A154" s="2" t="s">
        <v>374</v>
      </c>
      <c r="B154" s="2">
        <v>-534.8</v>
      </c>
      <c r="C154" s="2">
        <v>-401.7</v>
      </c>
      <c r="E154" s="2">
        <v>-526.0</v>
      </c>
      <c r="F154" s="2">
        <v>-294.8</v>
      </c>
      <c r="G154" s="2">
        <v>-464.5</v>
      </c>
      <c r="H154" s="2">
        <v>-392.3</v>
      </c>
      <c r="I154" s="2">
        <v>-226.8</v>
      </c>
      <c r="J154" s="2">
        <v>-486.5</v>
      </c>
      <c r="K154" s="2">
        <v>-450.1</v>
      </c>
      <c r="L154" s="2">
        <v>-179.5</v>
      </c>
      <c r="O154" s="2">
        <v>-632.1</v>
      </c>
      <c r="Q154" s="2">
        <v>-591.7</v>
      </c>
      <c r="T154" s="2">
        <v>-405.2</v>
      </c>
      <c r="U154" s="2">
        <v>-368.9</v>
      </c>
      <c r="W154" s="2">
        <v>-632.3</v>
      </c>
      <c r="X154" s="2">
        <v>-437.4</v>
      </c>
      <c r="Z154" s="2">
        <v>-461.9</v>
      </c>
      <c r="AA154" s="2">
        <v>-293.3</v>
      </c>
      <c r="AB154" s="2">
        <v>-346.9</v>
      </c>
      <c r="AD154" s="2">
        <v>-578.0</v>
      </c>
      <c r="AE154" s="2">
        <v>-483.8</v>
      </c>
      <c r="AF154" s="2">
        <v>-435.0</v>
      </c>
      <c r="AG154" s="2">
        <v>-430.9</v>
      </c>
      <c r="AH154" s="2">
        <v>-361.5</v>
      </c>
      <c r="AJ154" s="2">
        <v>-462.0</v>
      </c>
      <c r="AK154" s="2">
        <v>-505.9</v>
      </c>
      <c r="AL154" s="2">
        <v>-590.8</v>
      </c>
      <c r="AM154" s="2">
        <v>-841.3</v>
      </c>
      <c r="AN154" s="2">
        <v>-358.4</v>
      </c>
      <c r="AO154" s="2">
        <v>-484.5</v>
      </c>
      <c r="AP154" s="2">
        <v>-322.6</v>
      </c>
      <c r="AQ154" s="2">
        <v>-567.8</v>
      </c>
      <c r="AR154" s="2">
        <v>-383.7</v>
      </c>
      <c r="AU154" s="2">
        <v>-441.2</v>
      </c>
      <c r="AV154" s="2">
        <v>-612.4</v>
      </c>
      <c r="AW154" s="2">
        <v>-365.4</v>
      </c>
      <c r="AZ154" s="2">
        <v>-494.1</v>
      </c>
      <c r="BC154" s="2">
        <v>-347.6</v>
      </c>
      <c r="BE154" s="2">
        <v>-494.1</v>
      </c>
      <c r="BF154" s="2">
        <v>-384.4</v>
      </c>
      <c r="BG154" s="2">
        <v>-433.2</v>
      </c>
      <c r="BH154" s="2">
        <v>-338.4</v>
      </c>
      <c r="BI154" s="2">
        <v>-360.5</v>
      </c>
      <c r="BK154" s="2">
        <v>-641.2</v>
      </c>
      <c r="BL154" s="2">
        <v>-340.6</v>
      </c>
      <c r="BM154" s="2">
        <v>-365.9</v>
      </c>
      <c r="BO154" s="2">
        <v>-703.5</v>
      </c>
      <c r="BP154" s="2">
        <v>-395.4</v>
      </c>
    </row>
    <row r="155" ht="15.75" customHeight="1">
      <c r="B155" s="2">
        <f t="shared" ref="B155:AH155" si="18">(B151-B150)/B151</f>
        <v>0.4485179407</v>
      </c>
      <c r="C155" s="2">
        <f t="shared" si="18"/>
        <v>0.2473726758</v>
      </c>
      <c r="D155" s="2" t="str">
        <f t="shared" si="18"/>
        <v>#DIV/0!</v>
      </c>
      <c r="E155" s="2">
        <f t="shared" si="18"/>
        <v>0.3360251234</v>
      </c>
      <c r="F155" s="2">
        <f t="shared" si="18"/>
        <v>0.2004294918</v>
      </c>
      <c r="G155" s="2">
        <f t="shared" si="18"/>
        <v>0.05063733194</v>
      </c>
      <c r="H155" s="2">
        <f t="shared" si="18"/>
        <v>0.2778716216</v>
      </c>
      <c r="I155" s="2">
        <f t="shared" si="18"/>
        <v>0.3677375256</v>
      </c>
      <c r="J155" s="2">
        <f t="shared" si="18"/>
        <v>0.3940455342</v>
      </c>
      <c r="K155" s="2">
        <f t="shared" si="18"/>
        <v>0.2157303371</v>
      </c>
      <c r="L155" s="2">
        <f t="shared" si="18"/>
        <v>0.3983244478</v>
      </c>
      <c r="M155" s="2" t="str">
        <f t="shared" si="18"/>
        <v>#DIV/0!</v>
      </c>
      <c r="N155" s="2" t="str">
        <f t="shared" si="18"/>
        <v>#DIV/0!</v>
      </c>
      <c r="O155" s="2">
        <f t="shared" si="18"/>
        <v>0.4039653036</v>
      </c>
      <c r="P155" s="2" t="str">
        <f t="shared" si="18"/>
        <v>#DIV/0!</v>
      </c>
      <c r="Q155" s="2">
        <f t="shared" si="18"/>
        <v>0.3156716418</v>
      </c>
      <c r="R155" s="2" t="str">
        <f t="shared" si="18"/>
        <v>#DIV/0!</v>
      </c>
      <c r="S155" s="2" t="str">
        <f t="shared" si="18"/>
        <v>#DIV/0!</v>
      </c>
      <c r="T155" s="2">
        <f t="shared" si="18"/>
        <v>0.3074935401</v>
      </c>
      <c r="U155" s="2">
        <f t="shared" si="18"/>
        <v>0.3453670277</v>
      </c>
      <c r="V155" s="2" t="str">
        <f t="shared" si="18"/>
        <v>#DIV/0!</v>
      </c>
      <c r="W155" s="2">
        <f t="shared" si="18"/>
        <v>0.3865724382</v>
      </c>
      <c r="X155" s="2">
        <f t="shared" si="18"/>
        <v>0.2873658134</v>
      </c>
      <c r="Y155" s="2" t="str">
        <f t="shared" si="18"/>
        <v>#DIV/0!</v>
      </c>
      <c r="Z155" s="2">
        <f t="shared" si="18"/>
        <v>0.316098081</v>
      </c>
      <c r="AA155" s="2">
        <f t="shared" si="18"/>
        <v>0.1863948919</v>
      </c>
      <c r="AB155" s="2">
        <f t="shared" si="18"/>
        <v>-6.675</v>
      </c>
      <c r="AC155" s="2" t="str">
        <f t="shared" si="18"/>
        <v>#DIV/0!</v>
      </c>
      <c r="AD155" s="2">
        <f t="shared" si="18"/>
        <v>0.21875</v>
      </c>
      <c r="AE155" s="2">
        <f t="shared" si="18"/>
        <v>0.2058956916</v>
      </c>
      <c r="AF155" s="2">
        <f t="shared" si="18"/>
        <v>0.1428571429</v>
      </c>
      <c r="AG155" s="2">
        <f t="shared" si="18"/>
        <v>0.1651308515</v>
      </c>
      <c r="AH155" s="2">
        <f t="shared" si="18"/>
        <v>0.2655737705</v>
      </c>
      <c r="AJ155" s="2">
        <f t="shared" ref="AJ155:BC155" si="19">(AJ151-AJ150)/AJ151</f>
        <v>0.5149171271</v>
      </c>
      <c r="AK155" s="2">
        <f t="shared" si="19"/>
        <v>0.1486898233</v>
      </c>
      <c r="AL155" s="2">
        <f t="shared" si="19"/>
        <v>0.3633603239</v>
      </c>
      <c r="AM155" s="2">
        <f t="shared" si="19"/>
        <v>0.3234972678</v>
      </c>
      <c r="AN155" s="2">
        <f t="shared" si="19"/>
        <v>0.313559322</v>
      </c>
      <c r="AO155" s="2">
        <f t="shared" si="19"/>
        <v>0.273467433</v>
      </c>
      <c r="AP155" s="2">
        <f t="shared" si="19"/>
        <v>0.3237765695</v>
      </c>
      <c r="AQ155" s="2">
        <f t="shared" si="19"/>
        <v>0.3284671533</v>
      </c>
      <c r="AR155" s="2">
        <f t="shared" si="19"/>
        <v>0.3815602837</v>
      </c>
      <c r="AS155" s="2" t="str">
        <f t="shared" si="19"/>
        <v>#DIV/0!</v>
      </c>
      <c r="AT155" s="2" t="str">
        <f t="shared" si="19"/>
        <v>#DIV/0!</v>
      </c>
      <c r="AU155" s="2">
        <f t="shared" si="19"/>
        <v>0.3259668508</v>
      </c>
      <c r="AV155" s="2">
        <f t="shared" si="19"/>
        <v>0.5280898876</v>
      </c>
      <c r="AW155" s="2">
        <f t="shared" si="19"/>
        <v>0.3966033966</v>
      </c>
      <c r="AX155" s="2" t="str">
        <f t="shared" si="19"/>
        <v>#DIV/0!</v>
      </c>
      <c r="AY155" s="2" t="str">
        <f t="shared" si="19"/>
        <v>#DIV/0!</v>
      </c>
      <c r="AZ155" s="2">
        <f t="shared" si="19"/>
        <v>0.4175960347</v>
      </c>
      <c r="BA155" s="2" t="str">
        <f t="shared" si="19"/>
        <v>#DIV/0!</v>
      </c>
      <c r="BB155" s="2" t="str">
        <f t="shared" si="19"/>
        <v>#DIV/0!</v>
      </c>
      <c r="BC155" s="2">
        <f t="shared" si="19"/>
        <v>0.201183432</v>
      </c>
    </row>
    <row r="156" ht="15.75" customHeight="1">
      <c r="A156" s="20" t="s">
        <v>375</v>
      </c>
      <c r="B156" s="2" t="s">
        <v>376</v>
      </c>
      <c r="C156" s="2" t="s">
        <v>377</v>
      </c>
      <c r="E156" s="2" t="s">
        <v>378</v>
      </c>
      <c r="F156" s="2" t="s">
        <v>379</v>
      </c>
      <c r="G156" s="2" t="s">
        <v>380</v>
      </c>
      <c r="H156" s="2" t="s">
        <v>381</v>
      </c>
      <c r="I156" s="2" t="s">
        <v>382</v>
      </c>
      <c r="J156" s="2" t="s">
        <v>383</v>
      </c>
      <c r="K156" s="2" t="s">
        <v>384</v>
      </c>
      <c r="L156" s="2" t="s">
        <v>385</v>
      </c>
      <c r="M156" s="2" t="s">
        <v>386</v>
      </c>
      <c r="O156" s="2" t="s">
        <v>387</v>
      </c>
      <c r="P156" s="2" t="s">
        <v>388</v>
      </c>
      <c r="Q156" s="2" t="s">
        <v>389</v>
      </c>
      <c r="R156" s="2" t="s">
        <v>390</v>
      </c>
      <c r="T156" s="2" t="s">
        <v>391</v>
      </c>
      <c r="U156" s="2" t="s">
        <v>392</v>
      </c>
      <c r="V156" s="21"/>
      <c r="W156" s="2" t="s">
        <v>393</v>
      </c>
      <c r="X156" s="2" t="s">
        <v>394</v>
      </c>
      <c r="Z156" s="2" t="s">
        <v>395</v>
      </c>
      <c r="AA156" s="2" t="s">
        <v>396</v>
      </c>
      <c r="AB156" s="2" t="s">
        <v>397</v>
      </c>
      <c r="AD156" s="2" t="s">
        <v>398</v>
      </c>
      <c r="AE156" s="2" t="s">
        <v>399</v>
      </c>
      <c r="AF156" s="2" t="s">
        <v>400</v>
      </c>
      <c r="AG156" s="2" t="s">
        <v>401</v>
      </c>
      <c r="AH156" s="2" t="s">
        <v>402</v>
      </c>
      <c r="AJ156" s="22" t="s">
        <v>403</v>
      </c>
      <c r="AK156" s="22" t="s">
        <v>404</v>
      </c>
      <c r="AL156" s="23" t="s">
        <v>405</v>
      </c>
      <c r="AM156" s="23" t="s">
        <v>406</v>
      </c>
      <c r="AN156" s="23" t="s">
        <v>407</v>
      </c>
      <c r="AO156" s="23" t="s">
        <v>408</v>
      </c>
      <c r="AP156" s="23" t="s">
        <v>409</v>
      </c>
      <c r="AQ156" s="23" t="s">
        <v>410</v>
      </c>
      <c r="AR156" s="23" t="s">
        <v>411</v>
      </c>
      <c r="AU156" s="23" t="s">
        <v>412</v>
      </c>
      <c r="AV156" s="23" t="s">
        <v>413</v>
      </c>
      <c r="AW156" s="23" t="s">
        <v>414</v>
      </c>
      <c r="AX156" s="23" t="s">
        <v>415</v>
      </c>
      <c r="AZ156" s="23">
        <v>2.4173505E7</v>
      </c>
      <c r="BC156" s="2" t="s">
        <v>416</v>
      </c>
      <c r="BD156" s="23" t="s">
        <v>417</v>
      </c>
      <c r="BE156" s="23" t="s">
        <v>418</v>
      </c>
      <c r="BF156" s="23" t="s">
        <v>419</v>
      </c>
      <c r="BG156" s="23" t="s">
        <v>420</v>
      </c>
      <c r="BH156" s="23" t="s">
        <v>421</v>
      </c>
      <c r="BI156" s="23" t="s">
        <v>422</v>
      </c>
      <c r="BJ156" s="23" t="s">
        <v>423</v>
      </c>
      <c r="BK156" s="23" t="s">
        <v>424</v>
      </c>
      <c r="BL156" s="23" t="s">
        <v>425</v>
      </c>
      <c r="BM156" s="23" t="s">
        <v>426</v>
      </c>
      <c r="BN156" s="23" t="s">
        <v>427</v>
      </c>
      <c r="BO156" s="23" t="s">
        <v>428</v>
      </c>
      <c r="BP156" s="23" t="s">
        <v>429</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56.14"/>
    <col customWidth="1" min="3" max="3" width="8.71"/>
    <col customWidth="1" min="4" max="4" width="41.43"/>
    <col customWidth="1" min="5" max="26" width="8.71"/>
  </cols>
  <sheetData>
    <row r="1">
      <c r="A1" s="4" t="s">
        <v>64</v>
      </c>
      <c r="B1" s="1"/>
      <c r="C1" s="1"/>
      <c r="D1" s="24" t="s">
        <v>430</v>
      </c>
    </row>
    <row r="2">
      <c r="A2" s="1" t="s">
        <v>93</v>
      </c>
      <c r="B2" s="1"/>
      <c r="C2" s="1"/>
      <c r="D2" s="5" t="s">
        <v>431</v>
      </c>
    </row>
    <row r="3">
      <c r="A3" s="1" t="s">
        <v>153</v>
      </c>
      <c r="B3" s="1"/>
      <c r="C3" s="1"/>
      <c r="D3" s="1"/>
    </row>
    <row r="4">
      <c r="A4" s="1" t="s">
        <v>217</v>
      </c>
      <c r="B4" s="1"/>
      <c r="C4" s="1"/>
      <c r="D4" s="1"/>
    </row>
    <row r="5">
      <c r="A5" s="1" t="s">
        <v>220</v>
      </c>
      <c r="B5" s="1" t="s">
        <v>432</v>
      </c>
      <c r="C5" s="1"/>
      <c r="D5" s="1"/>
    </row>
    <row r="6">
      <c r="A6" s="1" t="s">
        <v>221</v>
      </c>
      <c r="B6" s="1" t="s">
        <v>433</v>
      </c>
      <c r="C6" s="1"/>
      <c r="D6" s="1"/>
    </row>
    <row r="7">
      <c r="A7" s="2" t="s">
        <v>434</v>
      </c>
      <c r="B7" s="1" t="s">
        <v>435</v>
      </c>
      <c r="C7" s="1"/>
    </row>
    <row r="8">
      <c r="A8" s="1" t="s">
        <v>223</v>
      </c>
      <c r="B8" s="1" t="s">
        <v>436</v>
      </c>
    </row>
    <row r="9">
      <c r="A9" s="2" t="s">
        <v>224</v>
      </c>
      <c r="B9" s="6" t="s">
        <v>437</v>
      </c>
    </row>
    <row r="10">
      <c r="A10" s="1" t="s">
        <v>226</v>
      </c>
      <c r="B10" s="5" t="s">
        <v>438</v>
      </c>
    </row>
    <row r="11">
      <c r="A11" s="5" t="s">
        <v>439</v>
      </c>
      <c r="B11" s="5" t="s">
        <v>440</v>
      </c>
      <c r="C11" s="1"/>
      <c r="D11" s="1"/>
    </row>
    <row r="12">
      <c r="A12" s="5" t="s">
        <v>228</v>
      </c>
      <c r="B12" s="5" t="s">
        <v>441</v>
      </c>
      <c r="C12" s="1"/>
      <c r="D12" s="1"/>
    </row>
    <row r="13">
      <c r="A13" s="1"/>
      <c r="B13" s="1"/>
      <c r="C13" s="1"/>
      <c r="D13" s="1"/>
    </row>
    <row r="14">
      <c r="A14" s="1"/>
      <c r="B14" s="1"/>
      <c r="C14" s="1"/>
      <c r="D14" s="1"/>
    </row>
    <row r="15">
      <c r="A15" s="4" t="s">
        <v>442</v>
      </c>
      <c r="B15" s="5" t="s">
        <v>443</v>
      </c>
      <c r="C15" s="1"/>
      <c r="D15" s="1"/>
    </row>
    <row r="16">
      <c r="A16" s="11" t="s">
        <v>230</v>
      </c>
      <c r="B16" s="1"/>
      <c r="C16" s="1"/>
      <c r="D16" s="1"/>
    </row>
    <row r="17">
      <c r="A17" s="11" t="s">
        <v>231</v>
      </c>
      <c r="B17" s="1"/>
      <c r="C17" s="1"/>
      <c r="D17" s="1"/>
    </row>
    <row r="18">
      <c r="A18" s="11" t="s">
        <v>233</v>
      </c>
      <c r="B18" s="1"/>
      <c r="C18" s="1"/>
      <c r="D18" s="1"/>
    </row>
    <row r="19">
      <c r="A19" s="11" t="s">
        <v>234</v>
      </c>
      <c r="B19" s="1"/>
      <c r="C19" s="1"/>
      <c r="D19" s="1"/>
    </row>
    <row r="20">
      <c r="A20" s="11" t="s">
        <v>235</v>
      </c>
      <c r="B20" s="1"/>
      <c r="C20" s="1"/>
      <c r="D20" s="1"/>
    </row>
    <row r="21" ht="15.75" customHeight="1">
      <c r="A21" s="11" t="s">
        <v>237</v>
      </c>
      <c r="B21" s="1"/>
      <c r="C21" s="1"/>
      <c r="D21" s="1"/>
    </row>
    <row r="22" ht="15.75" customHeight="1">
      <c r="A22" s="11" t="s">
        <v>239</v>
      </c>
      <c r="B22" s="1"/>
      <c r="C22" s="1"/>
      <c r="D22" s="1"/>
    </row>
    <row r="23" ht="15.75" customHeight="1">
      <c r="A23" s="11" t="s">
        <v>240</v>
      </c>
      <c r="B23" s="1"/>
      <c r="C23" s="1"/>
      <c r="D23" s="1"/>
    </row>
    <row r="24" ht="15.75" customHeight="1">
      <c r="A24" s="11" t="s">
        <v>241</v>
      </c>
      <c r="B24" s="1"/>
      <c r="C24" s="1"/>
      <c r="D24" s="1"/>
    </row>
    <row r="25" ht="15.75" customHeight="1">
      <c r="A25" s="11" t="s">
        <v>242</v>
      </c>
      <c r="B25" s="1"/>
      <c r="C25" s="1"/>
      <c r="D25" s="1"/>
    </row>
    <row r="26" ht="15.75" customHeight="1">
      <c r="A26" s="11" t="s">
        <v>243</v>
      </c>
      <c r="B26" s="1" t="s">
        <v>444</v>
      </c>
      <c r="C26" s="1"/>
      <c r="D26" s="1"/>
    </row>
    <row r="27" ht="15.75" customHeight="1">
      <c r="A27" s="11" t="s">
        <v>303</v>
      </c>
      <c r="B27" s="1" t="s">
        <v>445</v>
      </c>
      <c r="C27" s="1"/>
      <c r="D27" s="1"/>
    </row>
    <row r="28" ht="15.75" customHeight="1">
      <c r="A28" s="11" t="s">
        <v>245</v>
      </c>
      <c r="B28" s="1" t="s">
        <v>445</v>
      </c>
      <c r="C28" s="1"/>
      <c r="D28" s="1"/>
    </row>
    <row r="29" ht="15.75" customHeight="1">
      <c r="A29" s="11" t="s">
        <v>246</v>
      </c>
      <c r="B29" s="1" t="s">
        <v>446</v>
      </c>
      <c r="C29" s="1"/>
      <c r="D29" s="1"/>
    </row>
    <row r="30" ht="15.75" customHeight="1">
      <c r="A30" s="1" t="s">
        <v>447</v>
      </c>
      <c r="B30" s="1" t="s">
        <v>448</v>
      </c>
      <c r="C30" s="1"/>
      <c r="D30" s="1"/>
    </row>
    <row r="31" ht="17.25" customHeight="1">
      <c r="A31" s="1" t="s">
        <v>248</v>
      </c>
      <c r="B31" s="1" t="s">
        <v>448</v>
      </c>
      <c r="C31" s="1"/>
      <c r="D31" s="1"/>
    </row>
    <row r="32" ht="15.75" customHeight="1">
      <c r="C32" s="1"/>
      <c r="D32" s="1"/>
    </row>
    <row r="33" ht="15.75" customHeight="1">
      <c r="A33" s="12" t="s">
        <v>250</v>
      </c>
      <c r="B33" s="5" t="s">
        <v>449</v>
      </c>
      <c r="C33" s="1"/>
      <c r="D33" s="1"/>
    </row>
    <row r="34" ht="15.75" customHeight="1">
      <c r="A34" s="11" t="s">
        <v>230</v>
      </c>
      <c r="B34" s="1" t="s">
        <v>450</v>
      </c>
      <c r="C34" s="1"/>
      <c r="D34" s="1"/>
    </row>
    <row r="35" ht="15.75" customHeight="1">
      <c r="A35" s="11" t="s">
        <v>234</v>
      </c>
      <c r="B35" s="1"/>
      <c r="C35" s="1"/>
      <c r="D35" s="1"/>
    </row>
    <row r="36" ht="15.75" customHeight="1">
      <c r="A36" s="11" t="s">
        <v>235</v>
      </c>
      <c r="B36" s="1"/>
      <c r="C36" s="1"/>
      <c r="D36" s="1"/>
    </row>
    <row r="37" ht="15.75" customHeight="1">
      <c r="A37" s="11" t="s">
        <v>237</v>
      </c>
      <c r="B37" s="1"/>
      <c r="C37" s="1"/>
      <c r="D37" s="1"/>
    </row>
    <row r="38" ht="15.75" customHeight="1">
      <c r="A38" s="11" t="s">
        <v>239</v>
      </c>
      <c r="B38" s="1"/>
      <c r="C38" s="1"/>
      <c r="D38" s="1"/>
    </row>
    <row r="39" ht="15.75" customHeight="1">
      <c r="A39" s="11" t="s">
        <v>240</v>
      </c>
      <c r="B39" s="1"/>
      <c r="C39" s="1"/>
      <c r="D39" s="1"/>
    </row>
    <row r="40" ht="15.75" customHeight="1">
      <c r="A40" s="11" t="s">
        <v>241</v>
      </c>
      <c r="B40" s="1"/>
      <c r="C40" s="1"/>
      <c r="D40" s="1"/>
    </row>
    <row r="41" ht="15.75" customHeight="1">
      <c r="A41" s="11" t="s">
        <v>242</v>
      </c>
      <c r="B41" s="1"/>
      <c r="C41" s="1"/>
      <c r="D41" s="1"/>
    </row>
    <row r="42" ht="15.75" customHeight="1">
      <c r="A42" s="11" t="s">
        <v>243</v>
      </c>
      <c r="B42" s="1"/>
      <c r="C42" s="1"/>
      <c r="D42" s="1"/>
    </row>
    <row r="43" ht="15.75" customHeight="1">
      <c r="A43" s="11" t="s">
        <v>303</v>
      </c>
      <c r="B43" s="1"/>
      <c r="C43" s="1"/>
      <c r="D43" s="1"/>
    </row>
    <row r="44" ht="15.75" customHeight="1">
      <c r="A44" s="11" t="s">
        <v>245</v>
      </c>
      <c r="B44" s="1" t="s">
        <v>451</v>
      </c>
      <c r="C44" s="1"/>
      <c r="D44" s="1"/>
    </row>
    <row r="45" ht="15.75" customHeight="1">
      <c r="A45" s="11" t="s">
        <v>246</v>
      </c>
      <c r="B45" s="1" t="s">
        <v>452</v>
      </c>
      <c r="C45" s="1"/>
      <c r="D45" s="1"/>
    </row>
    <row r="46" ht="15.75" customHeight="1">
      <c r="A46" s="1"/>
      <c r="B46" s="1"/>
      <c r="C46" s="1"/>
      <c r="D46" s="1"/>
    </row>
    <row r="47" ht="15.75" customHeight="1">
      <c r="A47" s="4" t="s">
        <v>453</v>
      </c>
      <c r="B47" s="1"/>
      <c r="C47" s="1"/>
      <c r="D47" s="1"/>
    </row>
    <row r="48" ht="15.75" customHeight="1">
      <c r="A48" s="11" t="s">
        <v>281</v>
      </c>
      <c r="B48" s="5" t="s">
        <v>454</v>
      </c>
      <c r="C48" s="1"/>
      <c r="D48" s="1"/>
    </row>
    <row r="49" ht="15.75" customHeight="1">
      <c r="A49" s="11" t="s">
        <v>282</v>
      </c>
      <c r="B49" s="5" t="s">
        <v>455</v>
      </c>
      <c r="C49" s="1"/>
      <c r="D49" s="1"/>
    </row>
    <row r="50" ht="15.75" customHeight="1">
      <c r="A50" s="11" t="s">
        <v>284</v>
      </c>
      <c r="B50" s="1"/>
      <c r="C50" s="1"/>
      <c r="D50" s="1"/>
    </row>
    <row r="51" ht="15.75" customHeight="1">
      <c r="A51" s="11" t="s">
        <v>285</v>
      </c>
      <c r="B51" s="1" t="s">
        <v>456</v>
      </c>
      <c r="C51" s="1"/>
      <c r="D51" s="1"/>
    </row>
    <row r="52" ht="15.75" customHeight="1">
      <c r="A52" s="11" t="s">
        <v>286</v>
      </c>
      <c r="B52" s="1" t="s">
        <v>457</v>
      </c>
      <c r="C52" s="1"/>
      <c r="D52" s="1"/>
    </row>
    <row r="53" ht="15.75" customHeight="1">
      <c r="A53" s="11" t="s">
        <v>288</v>
      </c>
      <c r="B53" s="1" t="s">
        <v>458</v>
      </c>
      <c r="C53" s="1"/>
      <c r="D53" s="1"/>
    </row>
    <row r="54" ht="15.75" customHeight="1">
      <c r="A54" s="11" t="s">
        <v>234</v>
      </c>
      <c r="B54" s="1" t="s">
        <v>459</v>
      </c>
      <c r="C54" s="1"/>
      <c r="D54" s="1"/>
    </row>
    <row r="55" ht="15.75" customHeight="1">
      <c r="A55" s="11" t="s">
        <v>289</v>
      </c>
      <c r="B55" s="1" t="s">
        <v>460</v>
      </c>
      <c r="C55" s="1"/>
      <c r="D55" s="1"/>
    </row>
    <row r="56" ht="15.75" customHeight="1">
      <c r="A56" s="11" t="s">
        <v>290</v>
      </c>
      <c r="B56" s="1" t="s">
        <v>461</v>
      </c>
      <c r="C56" s="1"/>
      <c r="D56" s="1"/>
    </row>
    <row r="57" ht="15.75" customHeight="1">
      <c r="A57" s="1"/>
      <c r="B57" s="1"/>
      <c r="C57" s="1"/>
      <c r="D57" s="1"/>
    </row>
    <row r="58" ht="15.75" customHeight="1">
      <c r="A58" s="4" t="s">
        <v>462</v>
      </c>
      <c r="B58" s="1"/>
      <c r="C58" s="1"/>
      <c r="D58" s="1"/>
    </row>
    <row r="59" ht="15.75" customHeight="1">
      <c r="A59" s="11" t="s">
        <v>281</v>
      </c>
      <c r="B59" s="5" t="s">
        <v>463</v>
      </c>
      <c r="C59" s="1"/>
      <c r="D59" s="1"/>
    </row>
    <row r="60" ht="15.75" customHeight="1">
      <c r="A60" s="11" t="s">
        <v>282</v>
      </c>
      <c r="B60" s="5" t="s">
        <v>455</v>
      </c>
      <c r="C60" s="1"/>
      <c r="D60" s="1"/>
    </row>
    <row r="61" ht="15.75" customHeight="1">
      <c r="A61" s="11" t="s">
        <v>284</v>
      </c>
      <c r="B61" s="1"/>
      <c r="C61" s="1"/>
      <c r="D61" s="1"/>
    </row>
    <row r="62" ht="15.75" customHeight="1">
      <c r="A62" s="11" t="s">
        <v>285</v>
      </c>
      <c r="B62" s="1" t="s">
        <v>456</v>
      </c>
      <c r="C62" s="1"/>
      <c r="D62" s="1"/>
    </row>
    <row r="63" ht="15.75" customHeight="1">
      <c r="A63" s="11" t="s">
        <v>286</v>
      </c>
      <c r="B63" s="1" t="s">
        <v>457</v>
      </c>
      <c r="C63" s="1"/>
      <c r="D63" s="1"/>
    </row>
    <row r="64" ht="15.75" customHeight="1">
      <c r="A64" s="11" t="s">
        <v>288</v>
      </c>
      <c r="B64" s="1" t="s">
        <v>458</v>
      </c>
      <c r="C64" s="1"/>
      <c r="D64" s="1"/>
    </row>
    <row r="65" ht="15.75" customHeight="1">
      <c r="A65" s="11" t="s">
        <v>234</v>
      </c>
      <c r="B65" s="1" t="s">
        <v>459</v>
      </c>
      <c r="C65" s="1"/>
      <c r="D65" s="1"/>
    </row>
    <row r="66" ht="15.75" customHeight="1">
      <c r="A66" s="11" t="s">
        <v>289</v>
      </c>
      <c r="B66" s="1" t="s">
        <v>460</v>
      </c>
      <c r="C66" s="1"/>
      <c r="D66" s="1"/>
    </row>
    <row r="67" ht="15.75" customHeight="1">
      <c r="A67" s="11" t="s">
        <v>290</v>
      </c>
      <c r="B67" s="1" t="s">
        <v>461</v>
      </c>
      <c r="C67" s="1"/>
      <c r="D67" s="1"/>
    </row>
    <row r="68" ht="15.75" customHeight="1">
      <c r="A68" s="1"/>
      <c r="B68" s="1"/>
      <c r="C68" s="1"/>
      <c r="D68" s="1"/>
    </row>
    <row r="69" ht="15.75" customHeight="1">
      <c r="A69" s="4" t="s">
        <v>297</v>
      </c>
      <c r="B69" s="1"/>
      <c r="C69" s="1"/>
      <c r="D69" s="1"/>
    </row>
    <row r="70" ht="15.75" customHeight="1">
      <c r="A70" s="11" t="s">
        <v>298</v>
      </c>
      <c r="B70" s="1"/>
      <c r="C70" s="1"/>
      <c r="D70" s="1"/>
    </row>
    <row r="71" ht="15.75" customHeight="1">
      <c r="A71" s="11" t="s">
        <v>299</v>
      </c>
      <c r="B71" s="1"/>
      <c r="C71" s="1"/>
      <c r="D71" s="1"/>
    </row>
    <row r="72" ht="15.75" customHeight="1">
      <c r="A72" s="11" t="s">
        <v>300</v>
      </c>
      <c r="B72" s="1"/>
      <c r="C72" s="1"/>
      <c r="D72" s="1"/>
    </row>
    <row r="73" ht="15.75" customHeight="1">
      <c r="A73" s="11" t="s">
        <v>301</v>
      </c>
      <c r="B73" s="1"/>
      <c r="C73" s="1"/>
      <c r="D73" s="1"/>
    </row>
    <row r="74" ht="15.75" customHeight="1">
      <c r="A74" s="11" t="s">
        <v>302</v>
      </c>
      <c r="B74" s="1"/>
      <c r="C74" s="1"/>
      <c r="D74" s="1"/>
    </row>
    <row r="75" ht="15.75" customHeight="1">
      <c r="A75" s="11" t="s">
        <v>303</v>
      </c>
      <c r="B75" s="1"/>
      <c r="C75" s="1"/>
      <c r="D75" s="1"/>
    </row>
    <row r="76" ht="15.75" customHeight="1">
      <c r="A76" s="11" t="s">
        <v>304</v>
      </c>
      <c r="B76" s="1"/>
      <c r="C76" s="1"/>
      <c r="D76" s="1"/>
    </row>
    <row r="77" ht="15.75" customHeight="1">
      <c r="A77" s="11" t="s">
        <v>305</v>
      </c>
      <c r="B77" s="1"/>
      <c r="C77" s="1"/>
      <c r="D77" s="1"/>
    </row>
    <row r="78" ht="15.75" customHeight="1">
      <c r="A78" s="11" t="s">
        <v>306</v>
      </c>
      <c r="B78" s="1"/>
      <c r="C78" s="1"/>
      <c r="D78" s="1"/>
    </row>
    <row r="79" ht="15.75" customHeight="1">
      <c r="A79" s="11" t="s">
        <v>307</v>
      </c>
      <c r="B79" s="1"/>
      <c r="C79" s="1"/>
      <c r="D79" s="1"/>
    </row>
    <row r="80" ht="15.75" customHeight="1">
      <c r="A80" s="11" t="s">
        <v>308</v>
      </c>
      <c r="B80" s="1"/>
      <c r="C80" s="1"/>
      <c r="D80" s="1"/>
    </row>
    <row r="81" ht="15.75" customHeight="1">
      <c r="A81" s="11" t="s">
        <v>309</v>
      </c>
      <c r="B81" s="1"/>
      <c r="C81" s="1"/>
      <c r="D81" s="1"/>
    </row>
    <row r="82" ht="15.75" customHeight="1">
      <c r="A82" s="1"/>
      <c r="B82" s="1"/>
      <c r="C82" s="1"/>
      <c r="D82" s="1"/>
    </row>
    <row r="83" ht="15.75" customHeight="1">
      <c r="A83" s="4" t="s">
        <v>310</v>
      </c>
      <c r="B83" s="1"/>
      <c r="C83" s="1"/>
      <c r="D83" s="1"/>
    </row>
    <row r="84" ht="15.75" customHeight="1">
      <c r="A84" s="11" t="s">
        <v>298</v>
      </c>
      <c r="B84" s="1"/>
      <c r="C84" s="1"/>
      <c r="D84" s="1"/>
    </row>
    <row r="85" ht="15.75" customHeight="1">
      <c r="A85" s="11" t="s">
        <v>299</v>
      </c>
      <c r="B85" s="1"/>
      <c r="C85" s="1"/>
      <c r="D85" s="1"/>
    </row>
    <row r="86" ht="15.75" customHeight="1">
      <c r="A86" s="11" t="s">
        <v>300</v>
      </c>
      <c r="B86" s="1"/>
      <c r="C86" s="1"/>
      <c r="D86" s="1"/>
    </row>
    <row r="87" ht="15.75" customHeight="1">
      <c r="A87" s="11" t="s">
        <v>301</v>
      </c>
      <c r="B87" s="1"/>
      <c r="C87" s="1"/>
      <c r="D87" s="1"/>
    </row>
    <row r="88" ht="15.75" customHeight="1">
      <c r="A88" s="11" t="s">
        <v>302</v>
      </c>
      <c r="B88" s="1"/>
      <c r="C88" s="1"/>
      <c r="D88" s="1"/>
    </row>
    <row r="89" ht="15.75" customHeight="1">
      <c r="A89" s="11" t="s">
        <v>303</v>
      </c>
      <c r="B89" s="1"/>
      <c r="C89" s="1"/>
      <c r="D89" s="1"/>
    </row>
    <row r="90" ht="15.75" customHeight="1">
      <c r="A90" s="11" t="s">
        <v>304</v>
      </c>
      <c r="B90" s="1"/>
      <c r="C90" s="1"/>
      <c r="D90" s="1"/>
    </row>
    <row r="91" ht="15.75" customHeight="1">
      <c r="A91" s="11" t="s">
        <v>305</v>
      </c>
      <c r="B91" s="1"/>
      <c r="C91" s="1"/>
      <c r="D91" s="1"/>
    </row>
    <row r="92" ht="15.75" customHeight="1">
      <c r="A92" s="11" t="s">
        <v>306</v>
      </c>
      <c r="B92" s="1"/>
      <c r="C92" s="1"/>
      <c r="D92" s="1"/>
    </row>
    <row r="93" ht="15.75" customHeight="1">
      <c r="A93" s="11" t="s">
        <v>307</v>
      </c>
      <c r="B93" s="1"/>
      <c r="C93" s="1"/>
      <c r="D93" s="1"/>
    </row>
    <row r="94" ht="15.75" customHeight="1">
      <c r="A94" s="11" t="s">
        <v>308</v>
      </c>
      <c r="B94" s="1"/>
      <c r="C94" s="1"/>
      <c r="D94" s="1"/>
    </row>
    <row r="95" ht="15.75" customHeight="1">
      <c r="A95" s="11" t="s">
        <v>309</v>
      </c>
      <c r="B95" s="1"/>
      <c r="C95" s="1"/>
      <c r="D95" s="1"/>
    </row>
    <row r="96" ht="15.75" customHeight="1">
      <c r="A96" s="1"/>
      <c r="B96" s="1"/>
      <c r="C96" s="1"/>
      <c r="D96" s="1"/>
    </row>
    <row r="97" ht="15.75" customHeight="1">
      <c r="A97" s="25" t="s">
        <v>464</v>
      </c>
      <c r="B97" s="1" t="s">
        <v>465</v>
      </c>
      <c r="C97" s="1"/>
      <c r="D97" s="1"/>
    </row>
    <row r="98" ht="15.75" customHeight="1">
      <c r="A98" s="11" t="s">
        <v>313</v>
      </c>
      <c r="B98" s="1"/>
      <c r="C98" s="1"/>
      <c r="D98" s="1"/>
    </row>
    <row r="99" ht="15.75" customHeight="1">
      <c r="A99" s="11" t="s">
        <v>314</v>
      </c>
      <c r="B99" s="1"/>
      <c r="C99" s="1"/>
      <c r="D99" s="1"/>
    </row>
    <row r="100" ht="15.75" customHeight="1">
      <c r="A100" s="11" t="s">
        <v>315</v>
      </c>
      <c r="B100" s="1"/>
      <c r="C100" s="1"/>
      <c r="D100" s="1"/>
    </row>
    <row r="101" ht="15.75" customHeight="1">
      <c r="A101" s="11" t="s">
        <v>316</v>
      </c>
      <c r="B101" s="1"/>
      <c r="C101" s="1"/>
      <c r="D101" s="1"/>
    </row>
    <row r="102" ht="15.75" customHeight="1">
      <c r="A102" s="11" t="s">
        <v>317</v>
      </c>
      <c r="B102" s="1"/>
      <c r="C102" s="1"/>
      <c r="D102" s="1"/>
    </row>
    <row r="103" ht="15.75" customHeight="1">
      <c r="A103" s="11" t="s">
        <v>318</v>
      </c>
      <c r="B103" s="1"/>
      <c r="C103" s="1"/>
      <c r="D103" s="1"/>
    </row>
    <row r="104" ht="15.75" customHeight="1">
      <c r="A104" s="11" t="s">
        <v>319</v>
      </c>
      <c r="B104" s="1">
        <f> N(B98) + N(B99) + 100*N(B100) + 10*N(B101) + 100*N(B102) + 10*N(B103)</f>
        <v>0</v>
      </c>
      <c r="C104" s="1"/>
      <c r="D104" s="1"/>
    </row>
    <row r="105" ht="15.75" customHeight="1">
      <c r="A105" s="1"/>
      <c r="B105" s="1"/>
      <c r="C105" s="1"/>
      <c r="D105" s="1"/>
    </row>
    <row r="106" ht="15.75" customHeight="1">
      <c r="A106" s="17" t="s">
        <v>320</v>
      </c>
      <c r="B106" s="1"/>
      <c r="C106" s="1"/>
      <c r="D106" s="1"/>
    </row>
    <row r="107" ht="15.75" customHeight="1">
      <c r="A107" s="11" t="s">
        <v>321</v>
      </c>
      <c r="B107" s="1" t="s">
        <v>466</v>
      </c>
      <c r="C107" s="1"/>
      <c r="D107" s="1"/>
    </row>
    <row r="108" ht="15.75" customHeight="1">
      <c r="A108" s="11" t="s">
        <v>323</v>
      </c>
      <c r="B108" s="1" t="s">
        <v>467</v>
      </c>
      <c r="C108" s="1"/>
      <c r="D108" s="1"/>
    </row>
    <row r="109" ht="15.75" customHeight="1">
      <c r="A109" s="1"/>
      <c r="B109" s="1"/>
      <c r="C109" s="1"/>
      <c r="D109" s="1"/>
    </row>
    <row r="110" ht="15.75" customHeight="1">
      <c r="A110" s="17" t="s">
        <v>324</v>
      </c>
      <c r="B110" s="1"/>
      <c r="C110" s="1"/>
      <c r="D110" s="1"/>
    </row>
    <row r="111" ht="15.75" customHeight="1">
      <c r="A111" s="11" t="s">
        <v>321</v>
      </c>
      <c r="B111" s="1" t="s">
        <v>466</v>
      </c>
      <c r="C111" s="1"/>
      <c r="D111" s="1"/>
    </row>
    <row r="112" ht="15.75" customHeight="1">
      <c r="A112" s="11" t="s">
        <v>323</v>
      </c>
      <c r="B112" s="1" t="s">
        <v>467</v>
      </c>
      <c r="C112" s="1"/>
      <c r="D112" s="1"/>
    </row>
    <row r="113" ht="15.75" customHeight="1">
      <c r="A113" s="1"/>
      <c r="B113" s="1"/>
      <c r="C113" s="1"/>
      <c r="D113" s="1"/>
    </row>
    <row r="114" ht="15.75" customHeight="1">
      <c r="A114" s="4" t="s">
        <v>325</v>
      </c>
      <c r="B114" s="1"/>
      <c r="C114" s="1"/>
      <c r="D114" s="1"/>
    </row>
    <row r="115" ht="15.75" customHeight="1">
      <c r="A115" s="1" t="s">
        <v>326</v>
      </c>
      <c r="B115" s="1" t="s">
        <v>468</v>
      </c>
      <c r="C115" s="1"/>
      <c r="D115" s="1"/>
    </row>
    <row r="116" ht="15.75" customHeight="1">
      <c r="A116" s="1" t="s">
        <v>328</v>
      </c>
      <c r="B116" s="1" t="s">
        <v>469</v>
      </c>
      <c r="C116" s="1"/>
      <c r="D116" s="1"/>
    </row>
    <row r="117" ht="15.75" customHeight="1">
      <c r="A117" s="1"/>
      <c r="B117" s="1"/>
      <c r="C117" s="1"/>
      <c r="D117" s="1"/>
    </row>
    <row r="118" ht="15.75" customHeight="1">
      <c r="A118" s="4" t="s">
        <v>329</v>
      </c>
      <c r="B118" s="1"/>
      <c r="C118" s="1"/>
      <c r="D118" s="1"/>
    </row>
    <row r="119" ht="15.75" customHeight="1">
      <c r="A119" s="1" t="s">
        <v>338</v>
      </c>
      <c r="B119" s="1" t="s">
        <v>470</v>
      </c>
      <c r="C119" s="1"/>
      <c r="D119" s="1"/>
    </row>
    <row r="120" ht="15.75" customHeight="1">
      <c r="A120" s="1" t="s">
        <v>340</v>
      </c>
      <c r="B120" s="1" t="s">
        <v>461</v>
      </c>
      <c r="C120" s="1"/>
      <c r="D120" s="1"/>
    </row>
    <row r="121" ht="15.75" customHeight="1">
      <c r="A121" s="1" t="s">
        <v>342</v>
      </c>
      <c r="B121" s="1" t="s">
        <v>471</v>
      </c>
      <c r="C121" s="1"/>
      <c r="D121" s="1"/>
    </row>
    <row r="122" ht="15.75" customHeight="1">
      <c r="A122" s="1" t="s">
        <v>343</v>
      </c>
      <c r="B122" s="1" t="s">
        <v>472</v>
      </c>
    </row>
    <row r="123" ht="15.75" customHeight="1"/>
    <row r="124" ht="15.75" customHeight="1">
      <c r="A124" s="18" t="s">
        <v>347</v>
      </c>
      <c r="B124" s="6" t="s">
        <v>473</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7:D1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4.71"/>
    <col customWidth="1" min="3" max="3" width="8.71"/>
    <col customWidth="1" min="4" max="4" width="26.14"/>
    <col customWidth="1" min="5" max="7" width="8.71"/>
    <col customWidth="1" min="8" max="8" width="12.71"/>
    <col customWidth="1" min="9" max="9" width="26.57"/>
    <col customWidth="1" min="10" max="10" width="19.14"/>
    <col customWidth="1" min="11" max="11" width="12.57"/>
    <col customWidth="1" min="12" max="26" width="8.71"/>
  </cols>
  <sheetData>
    <row r="1">
      <c r="A1" s="26" t="s">
        <v>474</v>
      </c>
      <c r="B1" s="26" t="s">
        <v>475</v>
      </c>
      <c r="C1" s="26" t="s">
        <v>343</v>
      </c>
      <c r="D1" s="26" t="s">
        <v>476</v>
      </c>
      <c r="E1" s="26" t="s">
        <v>477</v>
      </c>
      <c r="F1" s="26" t="s">
        <v>478</v>
      </c>
      <c r="G1" s="27"/>
      <c r="H1" s="26" t="s">
        <v>479</v>
      </c>
      <c r="I1" s="26" t="s">
        <v>480</v>
      </c>
      <c r="J1" s="26" t="s">
        <v>481</v>
      </c>
      <c r="K1" s="26" t="s">
        <v>482</v>
      </c>
      <c r="L1" s="27"/>
    </row>
    <row r="2">
      <c r="A2" s="26" t="s">
        <v>483</v>
      </c>
      <c r="B2" s="26" t="s">
        <v>484</v>
      </c>
      <c r="C2" s="26" t="s">
        <v>485</v>
      </c>
      <c r="D2" s="26">
        <v>28.2</v>
      </c>
      <c r="E2" s="26">
        <v>58.0</v>
      </c>
      <c r="F2" s="26" t="s">
        <v>486</v>
      </c>
      <c r="G2" s="27"/>
      <c r="H2" s="27" t="s">
        <v>218</v>
      </c>
      <c r="I2" s="26" t="s">
        <v>487</v>
      </c>
      <c r="J2" s="26">
        <v>-7.0</v>
      </c>
      <c r="K2" s="26">
        <v>7.0</v>
      </c>
      <c r="L2" s="27"/>
    </row>
    <row r="3">
      <c r="A3" s="26" t="s">
        <v>483</v>
      </c>
      <c r="B3" s="26" t="s">
        <v>488</v>
      </c>
      <c r="C3" s="26" t="s">
        <v>485</v>
      </c>
      <c r="D3" s="26">
        <v>3.0</v>
      </c>
      <c r="E3" s="26">
        <v>80.0</v>
      </c>
      <c r="F3" s="26" t="s">
        <v>486</v>
      </c>
      <c r="G3" s="27"/>
      <c r="H3" s="27" t="s">
        <v>489</v>
      </c>
      <c r="I3" s="26" t="s">
        <v>487</v>
      </c>
      <c r="J3" s="26" t="s">
        <v>262</v>
      </c>
      <c r="K3" s="26" t="e">
        <v>#VALUE!</v>
      </c>
      <c r="L3" s="27"/>
    </row>
    <row r="4">
      <c r="A4" s="26" t="s">
        <v>483</v>
      </c>
      <c r="B4" s="26" t="s">
        <v>484</v>
      </c>
      <c r="C4" s="26" t="s">
        <v>485</v>
      </c>
      <c r="D4" s="26">
        <v>89.8</v>
      </c>
      <c r="E4" s="26">
        <v>47.0</v>
      </c>
      <c r="F4" s="26" t="s">
        <v>486</v>
      </c>
      <c r="G4" s="27"/>
      <c r="H4" s="27" t="s">
        <v>1</v>
      </c>
      <c r="I4" s="26" t="s">
        <v>487</v>
      </c>
      <c r="J4" s="26">
        <v>-4.0</v>
      </c>
      <c r="K4" s="26">
        <v>4.0</v>
      </c>
      <c r="N4" s="28" t="s">
        <v>490</v>
      </c>
    </row>
    <row r="5">
      <c r="A5" s="26" t="s">
        <v>483</v>
      </c>
      <c r="B5" s="26" t="s">
        <v>484</v>
      </c>
      <c r="C5" s="26" t="s">
        <v>485</v>
      </c>
      <c r="D5" s="26">
        <v>10.3</v>
      </c>
      <c r="E5" s="26">
        <v>19.0</v>
      </c>
      <c r="F5" s="26" t="s">
        <v>486</v>
      </c>
      <c r="G5" s="27"/>
      <c r="H5" s="27" t="s">
        <v>2</v>
      </c>
      <c r="I5" s="26" t="s">
        <v>491</v>
      </c>
      <c r="J5" s="26">
        <v>-1.0</v>
      </c>
      <c r="K5" s="26">
        <v>1.0</v>
      </c>
      <c r="N5" s="27">
        <v>37.0</v>
      </c>
    </row>
    <row r="6">
      <c r="A6" s="26" t="s">
        <v>483</v>
      </c>
      <c r="B6" s="26" t="s">
        <v>484</v>
      </c>
      <c r="C6" s="26" t="s">
        <v>485</v>
      </c>
      <c r="D6" s="26">
        <v>27.7</v>
      </c>
      <c r="E6" s="26">
        <v>19.0</v>
      </c>
      <c r="F6" s="26" t="s">
        <v>486</v>
      </c>
      <c r="G6" s="27"/>
      <c r="H6" s="27" t="s">
        <v>492</v>
      </c>
      <c r="I6" s="26" t="s">
        <v>487</v>
      </c>
      <c r="J6" s="26" t="s">
        <v>262</v>
      </c>
      <c r="K6" s="26" t="e">
        <v>#VALUE!</v>
      </c>
      <c r="N6" s="27"/>
    </row>
    <row r="7">
      <c r="A7" s="26" t="s">
        <v>483</v>
      </c>
      <c r="B7" s="26" t="s">
        <v>484</v>
      </c>
      <c r="C7" s="26" t="s">
        <v>485</v>
      </c>
      <c r="D7" s="26">
        <v>0.0</v>
      </c>
      <c r="E7" s="26">
        <v>56.0</v>
      </c>
      <c r="F7" s="26" t="s">
        <v>486</v>
      </c>
      <c r="G7" s="27"/>
      <c r="H7" s="27" t="s">
        <v>3</v>
      </c>
      <c r="I7" s="26" t="s">
        <v>491</v>
      </c>
      <c r="J7" s="26">
        <v>-1.0</v>
      </c>
      <c r="K7" s="26">
        <v>1.0</v>
      </c>
      <c r="N7" s="28" t="s">
        <v>493</v>
      </c>
    </row>
    <row r="8">
      <c r="A8" s="26" t="s">
        <v>483</v>
      </c>
      <c r="B8" s="26" t="s">
        <v>494</v>
      </c>
      <c r="C8" s="26" t="s">
        <v>495</v>
      </c>
      <c r="D8" s="26">
        <v>2.7</v>
      </c>
      <c r="E8" s="26">
        <v>34.0</v>
      </c>
      <c r="F8" s="26" t="s">
        <v>486</v>
      </c>
      <c r="G8" s="27"/>
      <c r="H8" s="27" t="s">
        <v>496</v>
      </c>
      <c r="I8" s="26" t="s">
        <v>491</v>
      </c>
      <c r="J8" s="26">
        <v>0.0</v>
      </c>
      <c r="K8" s="26">
        <v>0.0</v>
      </c>
      <c r="N8" s="27">
        <v>67.0</v>
      </c>
    </row>
    <row r="9">
      <c r="A9" s="26" t="s">
        <v>483</v>
      </c>
      <c r="B9" s="26" t="s">
        <v>484</v>
      </c>
      <c r="C9" s="26" t="s">
        <v>485</v>
      </c>
      <c r="D9" s="26">
        <v>13.1</v>
      </c>
      <c r="E9" s="26">
        <v>52.0</v>
      </c>
      <c r="F9" s="26" t="s">
        <v>497</v>
      </c>
      <c r="G9" s="27"/>
      <c r="H9" s="27" t="s">
        <v>498</v>
      </c>
      <c r="I9" s="26" t="s">
        <v>487</v>
      </c>
      <c r="J9" s="26" t="s">
        <v>262</v>
      </c>
      <c r="K9" s="26" t="e">
        <v>#VALUE!</v>
      </c>
      <c r="N9" s="27"/>
    </row>
    <row r="10">
      <c r="A10" s="26" t="s">
        <v>483</v>
      </c>
      <c r="B10" s="26" t="s">
        <v>484</v>
      </c>
      <c r="C10" s="26" t="s">
        <v>485</v>
      </c>
      <c r="D10" s="26">
        <v>13.9</v>
      </c>
      <c r="E10" s="26">
        <v>30.0</v>
      </c>
      <c r="F10" s="26" t="s">
        <v>497</v>
      </c>
      <c r="G10" s="27"/>
      <c r="H10" s="27" t="s">
        <v>4</v>
      </c>
      <c r="I10" s="26" t="s">
        <v>487</v>
      </c>
      <c r="J10" s="26">
        <v>-6.0</v>
      </c>
      <c r="K10" s="26">
        <v>6.0</v>
      </c>
      <c r="N10" s="28" t="s">
        <v>499</v>
      </c>
    </row>
    <row r="11">
      <c r="A11" s="26" t="s">
        <v>483</v>
      </c>
      <c r="B11" s="26" t="s">
        <v>484</v>
      </c>
      <c r="C11" s="26" t="s">
        <v>485</v>
      </c>
      <c r="D11" s="26">
        <v>28.0</v>
      </c>
      <c r="E11" s="26">
        <v>61.0</v>
      </c>
      <c r="F11" s="26" t="s">
        <v>486</v>
      </c>
      <c r="G11" s="27"/>
      <c r="H11" s="27" t="s">
        <v>500</v>
      </c>
      <c r="I11" s="26" t="s">
        <v>487</v>
      </c>
      <c r="J11" s="26">
        <v>-8.0</v>
      </c>
      <c r="K11" s="26">
        <v>8.0</v>
      </c>
      <c r="N11" s="27">
        <v>75.0</v>
      </c>
    </row>
    <row r="12">
      <c r="A12" s="26" t="s">
        <v>483</v>
      </c>
      <c r="B12" s="26" t="s">
        <v>484</v>
      </c>
      <c r="C12" s="26" t="s">
        <v>485</v>
      </c>
      <c r="D12" s="26">
        <v>9.6</v>
      </c>
      <c r="E12" s="26">
        <v>33.0</v>
      </c>
      <c r="F12" s="26" t="s">
        <v>497</v>
      </c>
      <c r="G12" s="27"/>
      <c r="H12" s="27" t="s">
        <v>5</v>
      </c>
      <c r="I12" s="26" t="s">
        <v>487</v>
      </c>
      <c r="J12" s="26">
        <v>-7.0</v>
      </c>
      <c r="K12" s="26">
        <v>7.0</v>
      </c>
      <c r="L12" s="27"/>
    </row>
    <row r="13">
      <c r="A13" s="26" t="s">
        <v>483</v>
      </c>
      <c r="B13" s="26" t="s">
        <v>484</v>
      </c>
      <c r="C13" s="26" t="s">
        <v>485</v>
      </c>
      <c r="D13" s="26">
        <v>33.0</v>
      </c>
      <c r="E13" s="26">
        <v>59.0</v>
      </c>
      <c r="F13" s="26" t="s">
        <v>486</v>
      </c>
      <c r="G13" s="27"/>
      <c r="H13" s="27" t="s">
        <v>6</v>
      </c>
      <c r="I13" s="26" t="s">
        <v>487</v>
      </c>
      <c r="J13" s="26">
        <v>-7.0</v>
      </c>
      <c r="K13" s="26">
        <v>7.0</v>
      </c>
      <c r="L13" s="27"/>
    </row>
    <row r="14">
      <c r="A14" s="26" t="s">
        <v>483</v>
      </c>
      <c r="B14" s="26" t="s">
        <v>484</v>
      </c>
      <c r="C14" s="26" t="s">
        <v>485</v>
      </c>
      <c r="D14" s="26">
        <v>48.3</v>
      </c>
      <c r="E14" s="26">
        <v>48.0</v>
      </c>
      <c r="F14" s="26" t="s">
        <v>486</v>
      </c>
      <c r="G14" s="27"/>
      <c r="H14" s="27" t="s">
        <v>7</v>
      </c>
      <c r="I14" s="26" t="s">
        <v>491</v>
      </c>
      <c r="J14" s="26">
        <v>-1.0</v>
      </c>
      <c r="K14" s="26">
        <v>1.0</v>
      </c>
      <c r="L14" s="27"/>
    </row>
    <row r="15">
      <c r="A15" s="26" t="s">
        <v>483</v>
      </c>
      <c r="B15" s="26" t="s">
        <v>484</v>
      </c>
      <c r="C15" s="26" t="s">
        <v>485</v>
      </c>
      <c r="D15" s="26">
        <v>17.9</v>
      </c>
      <c r="E15" s="26">
        <v>65.0</v>
      </c>
      <c r="F15" s="26" t="s">
        <v>486</v>
      </c>
      <c r="G15" s="27"/>
      <c r="H15" s="27" t="s">
        <v>8</v>
      </c>
      <c r="I15" s="26" t="s">
        <v>491</v>
      </c>
      <c r="J15" s="26">
        <v>-3.0</v>
      </c>
      <c r="K15" s="26">
        <v>3.0</v>
      </c>
      <c r="L15" s="27"/>
    </row>
    <row r="16">
      <c r="A16" s="26" t="s">
        <v>483</v>
      </c>
      <c r="B16" s="26" t="s">
        <v>484</v>
      </c>
      <c r="C16" s="26" t="s">
        <v>485</v>
      </c>
      <c r="D16" s="26">
        <v>24.7</v>
      </c>
      <c r="E16" s="26">
        <v>55.0</v>
      </c>
      <c r="F16" s="26" t="s">
        <v>486</v>
      </c>
      <c r="G16" s="27"/>
      <c r="H16" s="27" t="s">
        <v>9</v>
      </c>
      <c r="I16" s="26" t="s">
        <v>487</v>
      </c>
      <c r="J16" s="26">
        <v>-4.0</v>
      </c>
      <c r="K16" s="26">
        <v>4.0</v>
      </c>
      <c r="L16" s="27"/>
    </row>
    <row r="17">
      <c r="A17" s="26" t="s">
        <v>483</v>
      </c>
      <c r="B17" s="26" t="s">
        <v>484</v>
      </c>
      <c r="C17" s="26" t="s">
        <v>495</v>
      </c>
      <c r="D17" s="26">
        <v>27.6</v>
      </c>
      <c r="E17" s="26">
        <v>66.0</v>
      </c>
      <c r="F17" s="26" t="s">
        <v>486</v>
      </c>
      <c r="G17" s="27"/>
      <c r="H17" s="27" t="s">
        <v>10</v>
      </c>
      <c r="I17" s="26" t="s">
        <v>487</v>
      </c>
      <c r="J17" s="26">
        <v>-4.0</v>
      </c>
      <c r="K17" s="26">
        <v>4.0</v>
      </c>
      <c r="L17" s="27"/>
    </row>
    <row r="18">
      <c r="A18" s="26" t="s">
        <v>483</v>
      </c>
      <c r="B18" s="26" t="s">
        <v>484</v>
      </c>
      <c r="C18" s="26" t="s">
        <v>495</v>
      </c>
      <c r="D18" s="26">
        <v>49.0</v>
      </c>
      <c r="E18" s="26">
        <v>46.0</v>
      </c>
      <c r="F18" s="26" t="s">
        <v>486</v>
      </c>
      <c r="G18" s="27"/>
      <c r="H18" s="27" t="s">
        <v>11</v>
      </c>
      <c r="I18" s="26" t="s">
        <v>491</v>
      </c>
      <c r="J18" s="26">
        <v>-2.0</v>
      </c>
      <c r="K18" s="26">
        <v>2.0</v>
      </c>
      <c r="L18" s="27"/>
    </row>
    <row r="19">
      <c r="A19" s="26" t="s">
        <v>501</v>
      </c>
      <c r="B19" s="26" t="s">
        <v>484</v>
      </c>
      <c r="C19" s="26" t="s">
        <v>495</v>
      </c>
      <c r="D19" s="26">
        <v>5.2</v>
      </c>
      <c r="E19" s="26">
        <v>61.0</v>
      </c>
      <c r="F19" s="26" t="s">
        <v>497</v>
      </c>
      <c r="G19" s="27"/>
      <c r="H19" s="27" t="s">
        <v>12</v>
      </c>
      <c r="I19" s="26" t="s">
        <v>487</v>
      </c>
      <c r="J19" s="26">
        <v>-4.0</v>
      </c>
      <c r="K19" s="26">
        <v>4.0</v>
      </c>
      <c r="L19" s="27"/>
    </row>
    <row r="20">
      <c r="A20" s="26" t="s">
        <v>501</v>
      </c>
      <c r="B20" s="26" t="s">
        <v>484</v>
      </c>
      <c r="C20" s="26" t="s">
        <v>485</v>
      </c>
      <c r="D20" s="26">
        <v>15.1</v>
      </c>
      <c r="E20" s="26">
        <v>69.0</v>
      </c>
      <c r="F20" s="26" t="s">
        <v>486</v>
      </c>
      <c r="G20" s="27"/>
      <c r="H20" s="27" t="s">
        <v>502</v>
      </c>
      <c r="I20" s="26" t="s">
        <v>487</v>
      </c>
      <c r="J20" s="26" t="s">
        <v>262</v>
      </c>
      <c r="K20" s="26" t="e">
        <v>#VALUE!</v>
      </c>
      <c r="L20" s="27"/>
    </row>
    <row r="21" ht="15.75" customHeight="1">
      <c r="A21" s="26" t="s">
        <v>483</v>
      </c>
      <c r="B21" s="26" t="s">
        <v>484</v>
      </c>
      <c r="C21" s="26" t="s">
        <v>495</v>
      </c>
      <c r="D21" s="26">
        <v>2.5</v>
      </c>
      <c r="E21" s="26">
        <v>57.0</v>
      </c>
      <c r="F21" s="26" t="s">
        <v>486</v>
      </c>
      <c r="G21" s="27"/>
      <c r="H21" s="27" t="s">
        <v>503</v>
      </c>
      <c r="I21" s="26" t="s">
        <v>491</v>
      </c>
      <c r="J21" s="26">
        <v>-2.0</v>
      </c>
      <c r="K21" s="26">
        <v>2.0</v>
      </c>
      <c r="L21" s="27"/>
    </row>
    <row r="22" ht="15.75" customHeight="1">
      <c r="A22" s="26" t="s">
        <v>501</v>
      </c>
      <c r="B22" s="26" t="s">
        <v>494</v>
      </c>
      <c r="C22" s="26" t="s">
        <v>495</v>
      </c>
      <c r="D22" s="26">
        <v>13.3</v>
      </c>
      <c r="E22" s="26">
        <v>71.0</v>
      </c>
      <c r="F22" s="26" t="s">
        <v>486</v>
      </c>
      <c r="G22" s="27"/>
      <c r="H22" s="27" t="s">
        <v>504</v>
      </c>
      <c r="I22" s="26" t="s">
        <v>487</v>
      </c>
      <c r="J22" s="26" t="s">
        <v>262</v>
      </c>
      <c r="K22" s="26" t="e">
        <v>#VALUE!</v>
      </c>
      <c r="L22" s="27"/>
    </row>
    <row r="23" ht="15.75" customHeight="1">
      <c r="A23" s="26" t="s">
        <v>501</v>
      </c>
      <c r="B23" s="26" t="s">
        <v>484</v>
      </c>
      <c r="C23" s="26" t="s">
        <v>495</v>
      </c>
      <c r="D23" s="26">
        <v>33.1</v>
      </c>
      <c r="E23" s="26">
        <v>41.0</v>
      </c>
      <c r="F23" s="26" t="s">
        <v>497</v>
      </c>
      <c r="G23" s="27"/>
      <c r="H23" s="27" t="s">
        <v>505</v>
      </c>
      <c r="I23" s="26" t="s">
        <v>487</v>
      </c>
      <c r="J23" s="26">
        <v>-24.0</v>
      </c>
      <c r="K23" s="26">
        <v>24.0</v>
      </c>
      <c r="L23" s="27"/>
    </row>
    <row r="24" ht="15.75" customHeight="1">
      <c r="A24" s="26" t="s">
        <v>501</v>
      </c>
      <c r="B24" s="26" t="s">
        <v>484</v>
      </c>
      <c r="C24" s="26" t="s">
        <v>485</v>
      </c>
      <c r="D24" s="26">
        <v>16.3</v>
      </c>
      <c r="E24" s="26">
        <v>64.0</v>
      </c>
      <c r="F24" s="26" t="s">
        <v>486</v>
      </c>
      <c r="G24" s="27"/>
      <c r="H24" s="27" t="s">
        <v>506</v>
      </c>
      <c r="I24" s="26" t="s">
        <v>487</v>
      </c>
      <c r="J24" s="26" t="s">
        <v>262</v>
      </c>
      <c r="K24" s="26" t="e">
        <v>#VALUE!</v>
      </c>
      <c r="L24" s="27"/>
    </row>
    <row r="25" ht="15.75" customHeight="1">
      <c r="A25" s="26" t="s">
        <v>483</v>
      </c>
      <c r="B25" s="26" t="s">
        <v>484</v>
      </c>
      <c r="C25" s="26" t="s">
        <v>485</v>
      </c>
      <c r="D25" s="26">
        <v>13.0</v>
      </c>
      <c r="E25" s="26">
        <v>45.0</v>
      </c>
      <c r="F25" s="26" t="s">
        <v>486</v>
      </c>
      <c r="G25" s="27"/>
      <c r="H25" s="27" t="s">
        <v>507</v>
      </c>
      <c r="I25" s="26" t="s">
        <v>487</v>
      </c>
      <c r="J25" s="27">
        <v>-8.0</v>
      </c>
      <c r="K25" s="26">
        <v>8.0</v>
      </c>
      <c r="L25" s="27"/>
    </row>
    <row r="26" ht="15.75" customHeight="1">
      <c r="A26" s="26" t="s">
        <v>508</v>
      </c>
      <c r="B26" s="26" t="s">
        <v>484</v>
      </c>
      <c r="C26" s="26" t="s">
        <v>485</v>
      </c>
      <c r="D26" s="26">
        <v>14.4</v>
      </c>
      <c r="E26" s="26">
        <v>64.0</v>
      </c>
      <c r="F26" s="26" t="s">
        <v>497</v>
      </c>
      <c r="G26" s="27"/>
      <c r="H26" s="27" t="s">
        <v>13</v>
      </c>
      <c r="I26" s="26" t="s">
        <v>491</v>
      </c>
      <c r="J26" s="26">
        <v>-1.0</v>
      </c>
      <c r="K26" s="26">
        <v>1.0</v>
      </c>
      <c r="L26" s="27"/>
    </row>
    <row r="27" ht="15.75" customHeight="1">
      <c r="A27" s="26" t="s">
        <v>501</v>
      </c>
      <c r="B27" s="26" t="s">
        <v>484</v>
      </c>
      <c r="C27" s="26" t="s">
        <v>485</v>
      </c>
      <c r="D27" s="26">
        <v>11.8</v>
      </c>
      <c r="E27" s="26">
        <v>63.0</v>
      </c>
      <c r="F27" s="26" t="s">
        <v>486</v>
      </c>
      <c r="G27" s="27"/>
      <c r="H27" s="27" t="s">
        <v>14</v>
      </c>
      <c r="I27" s="26" t="s">
        <v>491</v>
      </c>
      <c r="J27" s="26">
        <v>-1.0</v>
      </c>
      <c r="K27" s="26">
        <v>1.0</v>
      </c>
      <c r="L27" s="27"/>
    </row>
    <row r="28" ht="15.75" customHeight="1">
      <c r="A28" s="26" t="s">
        <v>509</v>
      </c>
      <c r="B28" s="26" t="s">
        <v>484</v>
      </c>
      <c r="C28" s="26" t="s">
        <v>485</v>
      </c>
      <c r="D28" s="26">
        <v>12.3</v>
      </c>
      <c r="E28" s="26">
        <v>54.0</v>
      </c>
      <c r="F28" s="26" t="s">
        <v>497</v>
      </c>
      <c r="G28" s="27"/>
      <c r="H28" s="27" t="s">
        <v>510</v>
      </c>
      <c r="I28" s="26" t="s">
        <v>487</v>
      </c>
      <c r="J28" s="26" t="s">
        <v>262</v>
      </c>
      <c r="K28" s="26" t="e">
        <v>#VALUE!</v>
      </c>
      <c r="L28" s="27"/>
    </row>
    <row r="29" ht="15.75" customHeight="1">
      <c r="A29" s="26" t="s">
        <v>508</v>
      </c>
      <c r="B29" s="26" t="s">
        <v>484</v>
      </c>
      <c r="C29" s="26" t="s">
        <v>485</v>
      </c>
      <c r="D29" s="26">
        <v>3.1</v>
      </c>
      <c r="E29" s="26">
        <v>54.0</v>
      </c>
      <c r="F29" s="26" t="s">
        <v>486</v>
      </c>
      <c r="G29" s="27"/>
      <c r="H29" s="27" t="s">
        <v>15</v>
      </c>
      <c r="I29" s="26" t="s">
        <v>487</v>
      </c>
      <c r="J29" s="26">
        <v>-4.0</v>
      </c>
      <c r="K29" s="26">
        <v>4.0</v>
      </c>
      <c r="L29" s="27"/>
    </row>
    <row r="30" ht="15.75" customHeight="1">
      <c r="A30" s="26" t="s">
        <v>501</v>
      </c>
      <c r="B30" s="26" t="s">
        <v>484</v>
      </c>
      <c r="C30" s="26" t="s">
        <v>485</v>
      </c>
      <c r="D30" s="26">
        <v>45.9</v>
      </c>
      <c r="E30" s="26">
        <v>63.0</v>
      </c>
      <c r="F30" s="26" t="s">
        <v>486</v>
      </c>
      <c r="G30" s="27"/>
      <c r="H30" s="27" t="s">
        <v>511</v>
      </c>
      <c r="I30" s="26" t="s">
        <v>491</v>
      </c>
      <c r="J30" s="26">
        <v>-3.0</v>
      </c>
      <c r="K30" s="26">
        <v>3.0</v>
      </c>
      <c r="L30" s="27"/>
    </row>
    <row r="31" ht="15.75" customHeight="1">
      <c r="A31" s="26" t="s">
        <v>501</v>
      </c>
      <c r="B31" s="26" t="s">
        <v>484</v>
      </c>
      <c r="C31" s="26" t="s">
        <v>485</v>
      </c>
      <c r="D31" s="26">
        <v>20.5</v>
      </c>
      <c r="E31" s="26">
        <v>62.0</v>
      </c>
      <c r="F31" s="26" t="s">
        <v>486</v>
      </c>
      <c r="G31" s="27"/>
      <c r="H31" s="27" t="s">
        <v>16</v>
      </c>
      <c r="I31" s="26" t="s">
        <v>491</v>
      </c>
      <c r="J31" s="26">
        <v>-2.0</v>
      </c>
      <c r="K31" s="26">
        <v>2.0</v>
      </c>
      <c r="L31" s="27"/>
    </row>
    <row r="32" ht="15.75" customHeight="1">
      <c r="A32" s="26" t="s">
        <v>501</v>
      </c>
      <c r="B32" s="26" t="s">
        <v>484</v>
      </c>
      <c r="C32" s="26" t="s">
        <v>485</v>
      </c>
      <c r="D32" s="26">
        <v>27.6</v>
      </c>
      <c r="E32" s="26">
        <v>52.0</v>
      </c>
      <c r="F32" s="26" t="s">
        <v>486</v>
      </c>
      <c r="G32" s="27"/>
      <c r="H32" s="27" t="s">
        <v>512</v>
      </c>
      <c r="I32" s="26" t="s">
        <v>487</v>
      </c>
      <c r="J32" s="26">
        <v>-4.0</v>
      </c>
      <c r="K32" s="26">
        <v>4.0</v>
      </c>
      <c r="L32" s="27"/>
    </row>
    <row r="33" ht="15.75" customHeight="1">
      <c r="A33" s="26" t="s">
        <v>508</v>
      </c>
      <c r="B33" s="26" t="s">
        <v>484</v>
      </c>
      <c r="C33" s="26" t="s">
        <v>485</v>
      </c>
      <c r="D33" s="26">
        <v>16.9</v>
      </c>
      <c r="E33" s="26">
        <v>70.0</v>
      </c>
      <c r="F33" s="26" t="s">
        <v>486</v>
      </c>
      <c r="G33" s="27"/>
      <c r="H33" s="27" t="s">
        <v>17</v>
      </c>
      <c r="I33" s="26" t="s">
        <v>491</v>
      </c>
      <c r="J33" s="26">
        <v>-1.0</v>
      </c>
      <c r="K33" s="26">
        <v>1.0</v>
      </c>
      <c r="L33" s="27"/>
    </row>
    <row r="34" ht="15.75" customHeight="1">
      <c r="A34" s="26" t="s">
        <v>483</v>
      </c>
      <c r="B34" s="26" t="s">
        <v>484</v>
      </c>
      <c r="C34" s="26" t="s">
        <v>485</v>
      </c>
      <c r="D34" s="26">
        <v>6.4</v>
      </c>
      <c r="E34" s="26">
        <v>63.0</v>
      </c>
      <c r="F34" s="26" t="s">
        <v>497</v>
      </c>
      <c r="G34" s="27"/>
      <c r="H34" s="27" t="s">
        <v>18</v>
      </c>
      <c r="I34" s="26" t="s">
        <v>491</v>
      </c>
      <c r="J34" s="26">
        <v>0.0</v>
      </c>
      <c r="K34" s="26">
        <v>0.0</v>
      </c>
      <c r="L34" s="27"/>
    </row>
    <row r="35" ht="15.75" customHeight="1">
      <c r="A35" s="26" t="s">
        <v>508</v>
      </c>
      <c r="B35" s="26" t="s">
        <v>484</v>
      </c>
      <c r="C35" s="26" t="s">
        <v>485</v>
      </c>
      <c r="D35" s="26">
        <v>10.9</v>
      </c>
      <c r="E35" s="26">
        <v>52.0</v>
      </c>
      <c r="F35" s="26" t="s">
        <v>497</v>
      </c>
      <c r="G35" s="27"/>
      <c r="H35" s="27" t="s">
        <v>19</v>
      </c>
      <c r="I35" s="26" t="s">
        <v>491</v>
      </c>
      <c r="J35" s="26">
        <v>-1.0</v>
      </c>
      <c r="K35" s="26">
        <v>1.0</v>
      </c>
      <c r="L35" s="27"/>
    </row>
    <row r="36" ht="15.75" customHeight="1">
      <c r="A36" s="26" t="s">
        <v>483</v>
      </c>
      <c r="B36" s="26" t="s">
        <v>484</v>
      </c>
      <c r="C36" s="26" t="s">
        <v>485</v>
      </c>
      <c r="D36" s="26">
        <v>12.5</v>
      </c>
      <c r="E36" s="26">
        <v>59.0</v>
      </c>
      <c r="F36" s="26" t="s">
        <v>486</v>
      </c>
      <c r="G36" s="27"/>
      <c r="H36" s="27" t="s">
        <v>20</v>
      </c>
      <c r="I36" s="26" t="s">
        <v>487</v>
      </c>
      <c r="J36" s="26">
        <v>-7.0</v>
      </c>
      <c r="K36" s="26">
        <v>7.0</v>
      </c>
      <c r="L36" s="27"/>
    </row>
    <row r="37" ht="15.75" customHeight="1">
      <c r="A37" s="26" t="s">
        <v>483</v>
      </c>
      <c r="B37" s="26" t="s">
        <v>484</v>
      </c>
      <c r="C37" s="26" t="s">
        <v>485</v>
      </c>
      <c r="D37" s="26">
        <v>7.8</v>
      </c>
      <c r="E37" s="26">
        <v>51.0</v>
      </c>
      <c r="F37" s="26" t="s">
        <v>486</v>
      </c>
      <c r="G37" s="27"/>
      <c r="H37" s="27" t="s">
        <v>21</v>
      </c>
      <c r="I37" s="26" t="s">
        <v>487</v>
      </c>
      <c r="J37" s="26">
        <v>-7.0</v>
      </c>
      <c r="K37" s="26">
        <v>7.0</v>
      </c>
      <c r="L37" s="27"/>
    </row>
    <row r="38" ht="15.75" customHeight="1">
      <c r="A38" s="26" t="s">
        <v>483</v>
      </c>
      <c r="B38" s="26" t="s">
        <v>484</v>
      </c>
      <c r="C38" s="26" t="s">
        <v>485</v>
      </c>
      <c r="D38" s="26">
        <v>31.0</v>
      </c>
      <c r="E38" s="26">
        <v>61.0</v>
      </c>
      <c r="F38" s="26" t="s">
        <v>497</v>
      </c>
      <c r="G38" s="27"/>
      <c r="H38" s="27" t="s">
        <v>22</v>
      </c>
      <c r="I38" s="26" t="s">
        <v>491</v>
      </c>
      <c r="J38" s="26">
        <v>-1.0</v>
      </c>
      <c r="K38" s="26">
        <v>1.0</v>
      </c>
      <c r="L38" s="27"/>
    </row>
    <row r="39" ht="15.75" customHeight="1">
      <c r="A39" s="26" t="s">
        <v>508</v>
      </c>
      <c r="B39" s="26" t="s">
        <v>484</v>
      </c>
      <c r="C39" s="26" t="s">
        <v>485</v>
      </c>
      <c r="D39" s="26">
        <v>11.6</v>
      </c>
      <c r="E39" s="26">
        <v>77.0</v>
      </c>
      <c r="F39" s="26" t="s">
        <v>486</v>
      </c>
      <c r="G39" s="27"/>
      <c r="H39" s="27" t="s">
        <v>23</v>
      </c>
      <c r="I39" s="26" t="s">
        <v>487</v>
      </c>
      <c r="J39" s="26">
        <v>-7.0</v>
      </c>
      <c r="K39" s="26">
        <v>7.0</v>
      </c>
      <c r="L39" s="27"/>
    </row>
    <row r="40" ht="15.75" customHeight="1">
      <c r="A40" s="26" t="s">
        <v>501</v>
      </c>
      <c r="B40" s="26" t="s">
        <v>513</v>
      </c>
      <c r="C40" s="26" t="s">
        <v>485</v>
      </c>
      <c r="D40" s="26">
        <v>5.6</v>
      </c>
      <c r="E40" s="26">
        <v>65.0</v>
      </c>
      <c r="F40" s="26" t="s">
        <v>486</v>
      </c>
      <c r="G40" s="27"/>
      <c r="H40" s="27" t="s">
        <v>514</v>
      </c>
      <c r="I40" s="26" t="s">
        <v>491</v>
      </c>
      <c r="J40" s="26">
        <v>-3.0</v>
      </c>
      <c r="K40" s="26">
        <v>3.0</v>
      </c>
      <c r="L40" s="27"/>
    </row>
    <row r="41" ht="15.75" customHeight="1">
      <c r="A41" s="26" t="s">
        <v>508</v>
      </c>
      <c r="B41" s="26" t="s">
        <v>484</v>
      </c>
      <c r="C41" s="26" t="s">
        <v>485</v>
      </c>
      <c r="D41" s="26">
        <v>12.9</v>
      </c>
      <c r="E41" s="26">
        <v>67.0</v>
      </c>
      <c r="F41" s="26" t="s">
        <v>497</v>
      </c>
      <c r="G41" s="27"/>
      <c r="H41" s="27" t="s">
        <v>515</v>
      </c>
      <c r="I41" s="26" t="s">
        <v>487</v>
      </c>
      <c r="J41" s="26">
        <v>-13.0</v>
      </c>
      <c r="K41" s="26">
        <v>13.0</v>
      </c>
      <c r="L41" s="27"/>
    </row>
    <row r="42" ht="15.75" customHeight="1">
      <c r="A42" s="26" t="s">
        <v>508</v>
      </c>
      <c r="B42" s="26" t="s">
        <v>484</v>
      </c>
      <c r="C42" s="26" t="s">
        <v>485</v>
      </c>
      <c r="D42" s="26">
        <v>15.3</v>
      </c>
      <c r="E42" s="26">
        <v>53.0</v>
      </c>
      <c r="F42" s="26" t="s">
        <v>486</v>
      </c>
      <c r="G42" s="27"/>
      <c r="H42" s="27" t="s">
        <v>24</v>
      </c>
      <c r="I42" s="26" t="s">
        <v>491</v>
      </c>
      <c r="J42" s="26">
        <v>-3.0</v>
      </c>
      <c r="K42" s="26">
        <v>3.0</v>
      </c>
      <c r="L42" s="27"/>
    </row>
    <row r="43" ht="15.75" customHeight="1">
      <c r="A43" s="26" t="s">
        <v>501</v>
      </c>
      <c r="B43" s="26" t="s">
        <v>484</v>
      </c>
      <c r="C43" s="26" t="s">
        <v>485</v>
      </c>
      <c r="D43" s="26">
        <v>41.2</v>
      </c>
      <c r="E43" s="26">
        <v>50.0</v>
      </c>
      <c r="F43" s="26" t="s">
        <v>486</v>
      </c>
      <c r="G43" s="27"/>
      <c r="H43" s="27" t="s">
        <v>25</v>
      </c>
      <c r="I43" s="26" t="s">
        <v>487</v>
      </c>
      <c r="J43" s="27">
        <v>-5.0</v>
      </c>
      <c r="K43" s="26">
        <v>5.0</v>
      </c>
      <c r="L43" s="27"/>
    </row>
    <row r="44" ht="15.75" customHeight="1">
      <c r="A44" s="26" t="s">
        <v>501</v>
      </c>
      <c r="B44" s="26" t="s">
        <v>494</v>
      </c>
      <c r="C44" s="26" t="s">
        <v>495</v>
      </c>
      <c r="D44" s="26">
        <v>7.9</v>
      </c>
      <c r="E44" s="26">
        <v>67.0</v>
      </c>
      <c r="F44" s="26" t="s">
        <v>486</v>
      </c>
      <c r="G44" s="27"/>
      <c r="H44" s="27" t="s">
        <v>26</v>
      </c>
      <c r="I44" s="26" t="s">
        <v>491</v>
      </c>
      <c r="J44" s="26">
        <v>-2.0</v>
      </c>
      <c r="K44" s="26">
        <v>2.0</v>
      </c>
      <c r="L44" s="27"/>
    </row>
    <row r="45" ht="15.75" customHeight="1">
      <c r="A45" s="26" t="s">
        <v>508</v>
      </c>
      <c r="B45" s="26" t="s">
        <v>484</v>
      </c>
      <c r="C45" s="26" t="s">
        <v>485</v>
      </c>
      <c r="D45" s="26">
        <v>13.2</v>
      </c>
      <c r="E45" s="26">
        <v>71.0</v>
      </c>
      <c r="F45" s="26" t="s">
        <v>486</v>
      </c>
      <c r="G45" s="27"/>
      <c r="H45" s="27" t="s">
        <v>27</v>
      </c>
      <c r="I45" s="26" t="s">
        <v>491</v>
      </c>
      <c r="J45" s="27">
        <v>-2.0</v>
      </c>
      <c r="K45" s="26">
        <v>2.0</v>
      </c>
      <c r="L45" s="27"/>
    </row>
    <row r="46" ht="15.75" customHeight="1">
      <c r="A46" s="26" t="s">
        <v>508</v>
      </c>
      <c r="B46" s="26" t="s">
        <v>484</v>
      </c>
      <c r="C46" s="26" t="s">
        <v>485</v>
      </c>
      <c r="D46" s="26">
        <v>15.9</v>
      </c>
      <c r="E46" s="26">
        <v>69.0</v>
      </c>
      <c r="F46" s="26" t="s">
        <v>486</v>
      </c>
      <c r="G46" s="27"/>
      <c r="H46" s="27" t="s">
        <v>516</v>
      </c>
      <c r="I46" s="26" t="s">
        <v>487</v>
      </c>
      <c r="J46" s="26" t="s">
        <v>232</v>
      </c>
      <c r="K46" s="26" t="e">
        <v>#VALUE!</v>
      </c>
      <c r="L46" s="27"/>
    </row>
    <row r="47" ht="15.75" customHeight="1">
      <c r="A47" s="26" t="s">
        <v>483</v>
      </c>
      <c r="B47" s="26" t="s">
        <v>484</v>
      </c>
      <c r="C47" s="26" t="s">
        <v>485</v>
      </c>
      <c r="D47" s="26">
        <v>13.9</v>
      </c>
      <c r="E47" s="26">
        <v>66.0</v>
      </c>
      <c r="F47" s="26" t="s">
        <v>497</v>
      </c>
      <c r="G47" s="27"/>
      <c r="H47" s="27" t="s">
        <v>28</v>
      </c>
      <c r="I47" s="26" t="s">
        <v>491</v>
      </c>
      <c r="J47" s="27">
        <v>-2.0</v>
      </c>
      <c r="K47" s="26">
        <v>2.0</v>
      </c>
      <c r="L47" s="27"/>
    </row>
    <row r="48" ht="15.75" customHeight="1">
      <c r="A48" s="26" t="s">
        <v>508</v>
      </c>
      <c r="B48" s="26" t="s">
        <v>494</v>
      </c>
      <c r="C48" s="26" t="s">
        <v>495</v>
      </c>
      <c r="D48" s="26">
        <v>5.8</v>
      </c>
      <c r="E48" s="26">
        <v>57.0</v>
      </c>
      <c r="F48" s="26" t="s">
        <v>486</v>
      </c>
      <c r="G48" s="27"/>
      <c r="H48" s="27" t="s">
        <v>517</v>
      </c>
      <c r="I48" s="26" t="s">
        <v>487</v>
      </c>
      <c r="J48" s="26">
        <v>-4.0</v>
      </c>
      <c r="K48" s="26">
        <v>4.0</v>
      </c>
      <c r="L48" s="27"/>
    </row>
    <row r="49" ht="15.75" customHeight="1">
      <c r="A49" s="26" t="s">
        <v>508</v>
      </c>
      <c r="B49" s="26" t="s">
        <v>484</v>
      </c>
      <c r="C49" s="26" t="s">
        <v>485</v>
      </c>
      <c r="D49" s="26">
        <v>13.0</v>
      </c>
      <c r="E49" s="26">
        <v>71.0</v>
      </c>
      <c r="F49" s="26" t="s">
        <v>497</v>
      </c>
      <c r="G49" s="27"/>
      <c r="H49" s="27" t="s">
        <v>29</v>
      </c>
      <c r="I49" s="26" t="s">
        <v>487</v>
      </c>
      <c r="J49" s="27">
        <v>-7.0</v>
      </c>
      <c r="K49" s="26">
        <v>7.0</v>
      </c>
      <c r="L49" s="27"/>
    </row>
    <row r="50" ht="15.75" customHeight="1">
      <c r="A50" s="26" t="s">
        <v>508</v>
      </c>
      <c r="B50" s="26" t="s">
        <v>484</v>
      </c>
      <c r="C50" s="26" t="s">
        <v>485</v>
      </c>
      <c r="D50" s="26">
        <v>15.2</v>
      </c>
      <c r="E50" s="26">
        <v>56.0</v>
      </c>
      <c r="F50" s="26" t="s">
        <v>486</v>
      </c>
      <c r="G50" s="27"/>
      <c r="H50" s="27" t="s">
        <v>30</v>
      </c>
      <c r="I50" s="26" t="s">
        <v>491</v>
      </c>
      <c r="J50" s="27">
        <v>-3.0</v>
      </c>
      <c r="K50" s="26">
        <v>3.0</v>
      </c>
      <c r="L50" s="27"/>
    </row>
    <row r="51" ht="15.75" customHeight="1">
      <c r="A51" s="26" t="s">
        <v>501</v>
      </c>
      <c r="B51" s="26" t="s">
        <v>484</v>
      </c>
      <c r="C51" s="26" t="s">
        <v>485</v>
      </c>
      <c r="D51" s="26">
        <v>7.7</v>
      </c>
      <c r="E51" s="26">
        <v>67.0</v>
      </c>
      <c r="F51" s="26" t="s">
        <v>486</v>
      </c>
      <c r="G51" s="27"/>
      <c r="H51" s="27" t="s">
        <v>518</v>
      </c>
      <c r="I51" s="26" t="s">
        <v>491</v>
      </c>
      <c r="J51" s="27">
        <v>-3.0</v>
      </c>
      <c r="K51" s="26">
        <v>3.0</v>
      </c>
      <c r="L51" s="27"/>
    </row>
    <row r="52" ht="15.75" customHeight="1">
      <c r="A52" s="26" t="s">
        <v>483</v>
      </c>
      <c r="B52" s="26" t="s">
        <v>484</v>
      </c>
      <c r="C52" s="26" t="s">
        <v>485</v>
      </c>
      <c r="D52" s="26">
        <v>14.4</v>
      </c>
      <c r="E52" s="26">
        <v>65.0</v>
      </c>
      <c r="F52" s="26" t="s">
        <v>486</v>
      </c>
      <c r="G52" s="27"/>
      <c r="H52" s="27" t="s">
        <v>519</v>
      </c>
      <c r="I52" s="26" t="s">
        <v>487</v>
      </c>
      <c r="J52" s="27">
        <v>-13.0</v>
      </c>
      <c r="K52" s="26">
        <v>13.0</v>
      </c>
      <c r="L52" s="27"/>
    </row>
    <row r="53" ht="15.75" customHeight="1">
      <c r="A53" s="26" t="s">
        <v>483</v>
      </c>
      <c r="B53" s="26" t="s">
        <v>484</v>
      </c>
      <c r="C53" s="26" t="s">
        <v>485</v>
      </c>
      <c r="D53" s="26">
        <v>9.8</v>
      </c>
      <c r="E53" s="26">
        <v>65.0</v>
      </c>
      <c r="F53" s="26" t="s">
        <v>486</v>
      </c>
      <c r="G53" s="27"/>
      <c r="H53" s="27" t="s">
        <v>520</v>
      </c>
      <c r="I53" s="26" t="s">
        <v>487</v>
      </c>
      <c r="J53" s="26" t="s">
        <v>521</v>
      </c>
      <c r="K53" s="26" t="e">
        <v>#VALUE!</v>
      </c>
      <c r="L53" s="27"/>
    </row>
    <row r="54" ht="15.75" customHeight="1">
      <c r="A54" s="26" t="s">
        <v>483</v>
      </c>
      <c r="B54" s="26" t="s">
        <v>484</v>
      </c>
      <c r="C54" s="26" t="s">
        <v>485</v>
      </c>
      <c r="D54" s="26">
        <v>1.4</v>
      </c>
      <c r="E54" s="26">
        <v>69.0</v>
      </c>
      <c r="F54" s="26" t="s">
        <v>497</v>
      </c>
      <c r="G54" s="27"/>
      <c r="H54" s="27" t="s">
        <v>522</v>
      </c>
      <c r="I54" s="26" t="s">
        <v>487</v>
      </c>
      <c r="J54" s="27">
        <v>-8.0</v>
      </c>
      <c r="K54" s="26">
        <v>8.0</v>
      </c>
      <c r="L54" s="27"/>
    </row>
    <row r="55" ht="15.75" customHeight="1">
      <c r="A55" s="26" t="s">
        <v>508</v>
      </c>
      <c r="B55" s="26" t="s">
        <v>484</v>
      </c>
      <c r="C55" s="26" t="s">
        <v>485</v>
      </c>
      <c r="D55" s="26">
        <v>24.1</v>
      </c>
      <c r="E55" s="26">
        <v>57.0</v>
      </c>
      <c r="F55" s="26" t="s">
        <v>486</v>
      </c>
      <c r="G55" s="27"/>
      <c r="H55" s="27" t="s">
        <v>523</v>
      </c>
      <c r="I55" s="26" t="s">
        <v>487</v>
      </c>
      <c r="J55" s="26" t="s">
        <v>232</v>
      </c>
      <c r="K55" s="26" t="e">
        <v>#VALUE!</v>
      </c>
      <c r="L55" s="27"/>
    </row>
    <row r="56" ht="15.75" customHeight="1">
      <c r="A56" s="26" t="s">
        <v>508</v>
      </c>
      <c r="B56" s="26" t="s">
        <v>484</v>
      </c>
      <c r="C56" s="26" t="s">
        <v>485</v>
      </c>
      <c r="D56" s="26">
        <v>9.8</v>
      </c>
      <c r="E56" s="26">
        <v>76.0</v>
      </c>
      <c r="F56" s="26" t="s">
        <v>497</v>
      </c>
      <c r="G56" s="27"/>
      <c r="H56" s="27" t="s">
        <v>31</v>
      </c>
      <c r="I56" s="26" t="s">
        <v>524</v>
      </c>
      <c r="J56" s="27">
        <v>-2.0</v>
      </c>
      <c r="K56" s="26">
        <v>2.0</v>
      </c>
      <c r="L56" s="27"/>
    </row>
    <row r="57" ht="15.75" customHeight="1">
      <c r="A57" s="26" t="s">
        <v>501</v>
      </c>
      <c r="B57" s="26" t="s">
        <v>494</v>
      </c>
      <c r="C57" s="26" t="s">
        <v>485</v>
      </c>
      <c r="D57" s="26">
        <v>53.6</v>
      </c>
      <c r="E57" s="26">
        <v>55.0</v>
      </c>
      <c r="F57" s="26" t="s">
        <v>497</v>
      </c>
      <c r="G57" s="27"/>
      <c r="H57" s="27" t="s">
        <v>525</v>
      </c>
      <c r="I57" s="26" t="s">
        <v>487</v>
      </c>
      <c r="J57" s="26" t="s">
        <v>262</v>
      </c>
      <c r="K57" s="26" t="e">
        <v>#VALUE!</v>
      </c>
      <c r="L57" s="27"/>
    </row>
    <row r="58" ht="15.75" customHeight="1">
      <c r="A58" s="26" t="s">
        <v>501</v>
      </c>
      <c r="B58" s="26" t="s">
        <v>484</v>
      </c>
      <c r="C58" s="26" t="s">
        <v>485</v>
      </c>
      <c r="D58" s="26">
        <v>34.7</v>
      </c>
      <c r="E58" s="26">
        <v>64.0</v>
      </c>
      <c r="F58" s="26" t="s">
        <v>486</v>
      </c>
      <c r="G58" s="27"/>
      <c r="H58" s="27" t="s">
        <v>0</v>
      </c>
      <c r="I58" s="26" t="s">
        <v>491</v>
      </c>
      <c r="J58" s="27">
        <v>0.0</v>
      </c>
      <c r="K58" s="26">
        <v>0.0</v>
      </c>
      <c r="L58" s="27"/>
    </row>
    <row r="59" ht="15.75" customHeight="1">
      <c r="A59" s="26" t="s">
        <v>501</v>
      </c>
      <c r="B59" s="26" t="s">
        <v>494</v>
      </c>
      <c r="C59" s="26" t="s">
        <v>495</v>
      </c>
      <c r="D59" s="26">
        <v>29.6</v>
      </c>
      <c r="E59" s="26">
        <v>39.0</v>
      </c>
      <c r="F59" s="26" t="s">
        <v>497</v>
      </c>
      <c r="G59" s="27"/>
      <c r="H59" s="27" t="s">
        <v>526</v>
      </c>
      <c r="I59" s="26" t="s">
        <v>491</v>
      </c>
      <c r="J59" s="26">
        <v>-3.0</v>
      </c>
      <c r="K59" s="26">
        <v>3.0</v>
      </c>
      <c r="L59" s="27"/>
    </row>
    <row r="60" ht="15.75" customHeight="1">
      <c r="A60" s="26" t="s">
        <v>508</v>
      </c>
      <c r="B60" s="26" t="s">
        <v>484</v>
      </c>
      <c r="C60" s="26" t="s">
        <v>495</v>
      </c>
      <c r="D60" s="26">
        <v>19.9</v>
      </c>
      <c r="E60" s="26">
        <v>64.0</v>
      </c>
      <c r="F60" s="26" t="s">
        <v>497</v>
      </c>
      <c r="G60" s="27"/>
      <c r="H60" s="27" t="s">
        <v>527</v>
      </c>
      <c r="I60" s="26" t="s">
        <v>491</v>
      </c>
      <c r="J60" s="26">
        <v>-1.0</v>
      </c>
      <c r="K60" s="26">
        <v>1.0</v>
      </c>
      <c r="L60" s="27"/>
    </row>
    <row r="61" ht="15.75" customHeight="1">
      <c r="A61" s="26" t="s">
        <v>483</v>
      </c>
      <c r="B61" s="26" t="s">
        <v>484</v>
      </c>
      <c r="C61" s="26" t="s">
        <v>485</v>
      </c>
      <c r="D61" s="26">
        <v>21.4</v>
      </c>
      <c r="E61" s="26">
        <v>73.0</v>
      </c>
      <c r="F61" s="26" t="s">
        <v>486</v>
      </c>
      <c r="G61" s="27"/>
      <c r="H61" s="27" t="s">
        <v>32</v>
      </c>
      <c r="I61" s="26" t="s">
        <v>487</v>
      </c>
      <c r="J61" s="27">
        <v>-6.0</v>
      </c>
      <c r="K61" s="26">
        <v>6.0</v>
      </c>
      <c r="L61" s="27"/>
    </row>
    <row r="62" ht="15.75" customHeight="1">
      <c r="A62" s="26" t="s">
        <v>483</v>
      </c>
      <c r="B62" s="26" t="s">
        <v>494</v>
      </c>
      <c r="C62" s="26" t="s">
        <v>485</v>
      </c>
      <c r="D62" s="26">
        <v>23.7</v>
      </c>
      <c r="E62" s="26">
        <v>66.0</v>
      </c>
      <c r="F62" s="26" t="s">
        <v>486</v>
      </c>
      <c r="G62" s="27"/>
      <c r="H62" s="27" t="s">
        <v>33</v>
      </c>
      <c r="I62" s="26" t="s">
        <v>491</v>
      </c>
      <c r="J62" s="26">
        <v>-2.0</v>
      </c>
      <c r="K62" s="26">
        <v>2.0</v>
      </c>
      <c r="L62" s="27"/>
    </row>
    <row r="63" ht="15.75" customHeight="1">
      <c r="A63" s="26" t="s">
        <v>508</v>
      </c>
      <c r="B63" s="26" t="s">
        <v>484</v>
      </c>
      <c r="C63" s="26" t="s">
        <v>485</v>
      </c>
      <c r="D63" s="26">
        <v>10.3</v>
      </c>
      <c r="E63" s="26">
        <v>51.0</v>
      </c>
      <c r="F63" s="26" t="s">
        <v>486</v>
      </c>
      <c r="G63" s="27"/>
      <c r="H63" s="27" t="s">
        <v>528</v>
      </c>
      <c r="I63" s="26" t="s">
        <v>487</v>
      </c>
      <c r="J63" s="26" t="s">
        <v>232</v>
      </c>
      <c r="K63" s="26" t="e">
        <v>#VALUE!</v>
      </c>
      <c r="L63" s="27"/>
    </row>
    <row r="64" ht="15.75" customHeight="1">
      <c r="A64" s="26" t="s">
        <v>501</v>
      </c>
      <c r="B64" s="26" t="s">
        <v>484</v>
      </c>
      <c r="C64" s="26" t="s">
        <v>485</v>
      </c>
      <c r="D64" s="26">
        <v>20.0</v>
      </c>
      <c r="E64" s="26">
        <v>64.0</v>
      </c>
      <c r="F64" s="26" t="s">
        <v>486</v>
      </c>
      <c r="G64" s="27"/>
      <c r="H64" s="27" t="s">
        <v>0</v>
      </c>
      <c r="I64" s="26" t="s">
        <v>491</v>
      </c>
      <c r="J64" s="26">
        <v>-1.0</v>
      </c>
      <c r="K64" s="26">
        <v>1.0</v>
      </c>
      <c r="L64" s="27"/>
    </row>
    <row r="65" ht="15.75" customHeight="1">
      <c r="A65" s="26" t="s">
        <v>501</v>
      </c>
      <c r="B65" s="26" t="s">
        <v>513</v>
      </c>
      <c r="C65" s="26" t="s">
        <v>485</v>
      </c>
      <c r="D65" s="26">
        <v>0.1</v>
      </c>
      <c r="E65" s="26">
        <v>63.0</v>
      </c>
      <c r="F65" s="26" t="s">
        <v>486</v>
      </c>
      <c r="G65" s="27"/>
      <c r="H65" s="27" t="s">
        <v>529</v>
      </c>
      <c r="I65" s="26" t="s">
        <v>524</v>
      </c>
      <c r="J65" s="26">
        <v>-1.0</v>
      </c>
      <c r="K65" s="26">
        <v>1.0</v>
      </c>
      <c r="L65" s="27"/>
    </row>
    <row r="66" ht="15.75" customHeight="1">
      <c r="A66" s="26" t="s">
        <v>501</v>
      </c>
      <c r="B66" s="26" t="s">
        <v>484</v>
      </c>
      <c r="C66" s="26" t="s">
        <v>485</v>
      </c>
      <c r="D66" s="26">
        <v>30.8</v>
      </c>
      <c r="E66" s="26">
        <v>53.0</v>
      </c>
      <c r="F66" s="26" t="s">
        <v>497</v>
      </c>
      <c r="G66" s="27"/>
      <c r="H66" s="27" t="s">
        <v>530</v>
      </c>
      <c r="I66" s="26" t="s">
        <v>487</v>
      </c>
      <c r="J66" s="26" t="s">
        <v>262</v>
      </c>
      <c r="K66" s="26" t="e">
        <v>#VALUE!</v>
      </c>
      <c r="L66" s="27"/>
    </row>
    <row r="67" ht="15.75" customHeight="1">
      <c r="A67" s="26" t="s">
        <v>501</v>
      </c>
      <c r="B67" s="26" t="s">
        <v>484</v>
      </c>
      <c r="C67" s="26" t="s">
        <v>485</v>
      </c>
      <c r="D67" s="26">
        <v>19.6</v>
      </c>
      <c r="E67" s="26">
        <v>37.0</v>
      </c>
      <c r="F67" s="26" t="s">
        <v>486</v>
      </c>
      <c r="G67" s="27"/>
      <c r="H67" s="27" t="s">
        <v>531</v>
      </c>
      <c r="I67" s="26" t="s">
        <v>487</v>
      </c>
      <c r="J67" s="26" t="s">
        <v>232</v>
      </c>
      <c r="K67" s="26" t="e">
        <v>#VALUE!</v>
      </c>
      <c r="L67" s="27"/>
    </row>
    <row r="68" ht="15.75" customHeight="1">
      <c r="A68" s="26" t="s">
        <v>501</v>
      </c>
      <c r="B68" s="26" t="s">
        <v>484</v>
      </c>
      <c r="C68" s="26" t="s">
        <v>485</v>
      </c>
      <c r="D68" s="26">
        <v>5.3</v>
      </c>
      <c r="E68" s="26">
        <v>64.0</v>
      </c>
      <c r="F68" s="26" t="s">
        <v>486</v>
      </c>
      <c r="G68" s="27"/>
      <c r="H68" s="27" t="s">
        <v>34</v>
      </c>
      <c r="I68" s="26" t="s">
        <v>491</v>
      </c>
      <c r="J68" s="27">
        <v>-2.0</v>
      </c>
      <c r="K68" s="26">
        <v>2.0</v>
      </c>
      <c r="L68" s="27"/>
    </row>
    <row r="69" ht="15.75" customHeight="1">
      <c r="A69" s="26" t="s">
        <v>508</v>
      </c>
      <c r="B69" s="26" t="s">
        <v>484</v>
      </c>
      <c r="C69" s="26" t="s">
        <v>485</v>
      </c>
      <c r="D69" s="26">
        <v>28.1</v>
      </c>
      <c r="E69" s="26">
        <v>39.0</v>
      </c>
      <c r="F69" s="26" t="s">
        <v>486</v>
      </c>
      <c r="G69" s="27"/>
      <c r="H69" s="27" t="s">
        <v>532</v>
      </c>
      <c r="I69" s="26" t="s">
        <v>487</v>
      </c>
      <c r="J69" s="26" t="s">
        <v>232</v>
      </c>
      <c r="K69" s="26" t="e">
        <v>#VALUE!</v>
      </c>
      <c r="L69" s="27"/>
    </row>
    <row r="70" ht="15.75" customHeight="1">
      <c r="A70" s="26" t="s">
        <v>508</v>
      </c>
      <c r="B70" s="26" t="s">
        <v>484</v>
      </c>
      <c r="C70" s="26" t="s">
        <v>485</v>
      </c>
      <c r="D70" s="26">
        <v>26.4</v>
      </c>
      <c r="E70" s="26">
        <v>56.0</v>
      </c>
      <c r="F70" s="26" t="s">
        <v>486</v>
      </c>
      <c r="G70" s="27"/>
      <c r="H70" s="27" t="s">
        <v>35</v>
      </c>
      <c r="I70" s="26" t="s">
        <v>487</v>
      </c>
      <c r="J70" s="27">
        <v>-5.0</v>
      </c>
      <c r="K70" s="26">
        <v>5.0</v>
      </c>
      <c r="L70" s="27"/>
    </row>
    <row r="71" ht="15.75" customHeight="1">
      <c r="A71" s="26" t="s">
        <v>508</v>
      </c>
      <c r="B71" s="26" t="s">
        <v>484</v>
      </c>
      <c r="C71" s="26" t="s">
        <v>485</v>
      </c>
      <c r="D71" s="26">
        <v>9.7</v>
      </c>
      <c r="E71" s="26">
        <v>77.0</v>
      </c>
      <c r="F71" s="26" t="s">
        <v>486</v>
      </c>
      <c r="G71" s="27"/>
      <c r="H71" s="27" t="s">
        <v>36</v>
      </c>
      <c r="I71" s="26" t="s">
        <v>491</v>
      </c>
      <c r="J71" s="27">
        <v>-3.0</v>
      </c>
      <c r="K71" s="26">
        <v>3.0</v>
      </c>
      <c r="L71" s="27"/>
    </row>
    <row r="72" ht="15.75" customHeight="1">
      <c r="A72" s="26" t="s">
        <v>508</v>
      </c>
      <c r="B72" s="26" t="s">
        <v>484</v>
      </c>
      <c r="C72" s="26" t="s">
        <v>485</v>
      </c>
      <c r="D72" s="26">
        <v>16.3</v>
      </c>
      <c r="E72" s="26">
        <v>47.0</v>
      </c>
      <c r="F72" s="26" t="s">
        <v>486</v>
      </c>
      <c r="G72" s="27"/>
      <c r="H72" s="27" t="s">
        <v>533</v>
      </c>
      <c r="I72" s="26" t="s">
        <v>487</v>
      </c>
      <c r="J72" s="26" t="s">
        <v>262</v>
      </c>
      <c r="K72" s="26" t="e">
        <v>#VALUE!</v>
      </c>
      <c r="L72" s="27"/>
    </row>
    <row r="73" ht="15.75" customHeight="1">
      <c r="A73" s="26" t="s">
        <v>501</v>
      </c>
      <c r="B73" s="26" t="s">
        <v>484</v>
      </c>
      <c r="C73" s="26" t="s">
        <v>485</v>
      </c>
      <c r="D73" s="26">
        <v>18.3</v>
      </c>
      <c r="E73" s="26">
        <v>43.0</v>
      </c>
      <c r="F73" s="26" t="s">
        <v>486</v>
      </c>
      <c r="G73" s="27"/>
      <c r="H73" s="27" t="s">
        <v>37</v>
      </c>
      <c r="I73" s="26" t="s">
        <v>524</v>
      </c>
      <c r="J73" s="27">
        <v>-3.0</v>
      </c>
      <c r="K73" s="26">
        <v>3.0</v>
      </c>
      <c r="L73" s="27"/>
    </row>
    <row r="74" ht="15.75" customHeight="1">
      <c r="A74" s="26" t="s">
        <v>508</v>
      </c>
      <c r="B74" s="26" t="s">
        <v>484</v>
      </c>
      <c r="C74" s="26" t="s">
        <v>495</v>
      </c>
      <c r="D74" s="26">
        <v>18.1</v>
      </c>
      <c r="E74" s="26">
        <v>65.0</v>
      </c>
      <c r="F74" s="26" t="s">
        <v>486</v>
      </c>
      <c r="G74" s="27"/>
      <c r="H74" s="27" t="s">
        <v>38</v>
      </c>
      <c r="I74" s="26" t="s">
        <v>487</v>
      </c>
      <c r="J74" s="27">
        <v>-5.0</v>
      </c>
      <c r="K74" s="26">
        <v>5.0</v>
      </c>
      <c r="L74" s="27"/>
    </row>
    <row r="75" ht="15.75" customHeight="1">
      <c r="A75" s="26" t="s">
        <v>501</v>
      </c>
      <c r="B75" s="26" t="s">
        <v>484</v>
      </c>
      <c r="C75" s="26" t="s">
        <v>485</v>
      </c>
      <c r="D75" s="26">
        <v>10.0</v>
      </c>
      <c r="E75" s="26">
        <v>22.0</v>
      </c>
      <c r="F75" s="26" t="s">
        <v>497</v>
      </c>
      <c r="G75" s="27"/>
      <c r="H75" s="27" t="s">
        <v>39</v>
      </c>
      <c r="I75" s="26" t="s">
        <v>524</v>
      </c>
      <c r="J75" s="27">
        <v>-3.0</v>
      </c>
      <c r="K75" s="26">
        <v>3.0</v>
      </c>
      <c r="L75" s="27"/>
    </row>
    <row r="76" ht="15.75" customHeight="1">
      <c r="A76" s="26" t="s">
        <v>483</v>
      </c>
      <c r="B76" s="26" t="s">
        <v>484</v>
      </c>
      <c r="C76" s="26" t="s">
        <v>485</v>
      </c>
      <c r="D76" s="26">
        <v>13.2</v>
      </c>
      <c r="E76" s="26">
        <v>40.0</v>
      </c>
      <c r="F76" s="26" t="s">
        <v>486</v>
      </c>
      <c r="G76" s="27"/>
      <c r="H76" s="27" t="s">
        <v>40</v>
      </c>
      <c r="I76" s="26" t="s">
        <v>487</v>
      </c>
      <c r="J76" s="27">
        <v>-7.0</v>
      </c>
      <c r="K76" s="26">
        <v>7.0</v>
      </c>
      <c r="L76" s="27"/>
    </row>
    <row r="77" ht="15.75" customHeight="1">
      <c r="A77" s="26" t="s">
        <v>501</v>
      </c>
      <c r="B77" s="26" t="s">
        <v>484</v>
      </c>
      <c r="C77" s="26" t="s">
        <v>485</v>
      </c>
      <c r="D77" s="26">
        <v>2.7</v>
      </c>
      <c r="E77" s="26">
        <v>66.0</v>
      </c>
      <c r="F77" s="26" t="s">
        <v>497</v>
      </c>
      <c r="G77" s="27"/>
      <c r="H77" s="27" t="s">
        <v>534</v>
      </c>
      <c r="I77" s="26" t="s">
        <v>487</v>
      </c>
      <c r="J77" s="26" t="s">
        <v>232</v>
      </c>
      <c r="K77" s="26" t="e">
        <v>#VALUE!</v>
      </c>
      <c r="L77" s="27"/>
    </row>
    <row r="78" ht="15.75" customHeight="1">
      <c r="A78" s="26" t="s">
        <v>501</v>
      </c>
      <c r="B78" s="26" t="s">
        <v>484</v>
      </c>
      <c r="C78" s="26" t="s">
        <v>485</v>
      </c>
      <c r="D78" s="26">
        <v>31.2</v>
      </c>
      <c r="E78" s="26">
        <v>38.0</v>
      </c>
      <c r="F78" s="26" t="s">
        <v>497</v>
      </c>
      <c r="G78" s="27"/>
      <c r="H78" s="27" t="s">
        <v>535</v>
      </c>
      <c r="I78" s="26" t="s">
        <v>487</v>
      </c>
      <c r="J78" s="26" t="s">
        <v>232</v>
      </c>
      <c r="K78" s="26" t="e">
        <v>#VALUE!</v>
      </c>
      <c r="L78" s="27"/>
    </row>
    <row r="79" ht="15.75" customHeight="1">
      <c r="A79" s="26" t="s">
        <v>501</v>
      </c>
      <c r="B79" s="26" t="s">
        <v>484</v>
      </c>
      <c r="C79" s="26" t="s">
        <v>485</v>
      </c>
      <c r="D79" s="26">
        <v>17.6</v>
      </c>
      <c r="E79" s="26">
        <v>36.0</v>
      </c>
      <c r="F79" s="26" t="s">
        <v>497</v>
      </c>
      <c r="G79" s="27"/>
      <c r="H79" s="27" t="s">
        <v>536</v>
      </c>
      <c r="I79" s="26" t="s">
        <v>524</v>
      </c>
      <c r="J79" s="27">
        <v>-1.0</v>
      </c>
      <c r="K79" s="26">
        <v>1.0</v>
      </c>
      <c r="L79" s="27"/>
    </row>
    <row r="80" ht="15.75" customHeight="1">
      <c r="A80" s="26" t="s">
        <v>508</v>
      </c>
      <c r="B80" s="26" t="s">
        <v>484</v>
      </c>
      <c r="C80" s="26" t="s">
        <v>485</v>
      </c>
      <c r="D80" s="26">
        <v>31.2</v>
      </c>
      <c r="E80" s="26">
        <v>54.0</v>
      </c>
      <c r="F80" s="26" t="s">
        <v>486</v>
      </c>
      <c r="G80" s="27"/>
      <c r="H80" s="27" t="s">
        <v>537</v>
      </c>
      <c r="I80" s="26" t="s">
        <v>491</v>
      </c>
      <c r="J80" s="27">
        <v>0.0</v>
      </c>
      <c r="K80" s="26">
        <v>0.0</v>
      </c>
      <c r="L80" s="27"/>
    </row>
    <row r="81" ht="15.75" customHeight="1">
      <c r="A81" s="26" t="s">
        <v>501</v>
      </c>
      <c r="B81" s="26" t="s">
        <v>484</v>
      </c>
      <c r="C81" s="26" t="s">
        <v>485</v>
      </c>
      <c r="D81" s="26">
        <v>28.2</v>
      </c>
      <c r="E81" s="26">
        <v>61.0</v>
      </c>
      <c r="F81" s="26" t="s">
        <v>486</v>
      </c>
      <c r="G81" s="27"/>
      <c r="H81" s="27" t="s">
        <v>41</v>
      </c>
      <c r="I81" s="26" t="s">
        <v>491</v>
      </c>
      <c r="J81" s="27">
        <v>-1.0</v>
      </c>
      <c r="K81" s="26">
        <v>1.0</v>
      </c>
      <c r="L81" s="27"/>
    </row>
    <row r="82" ht="15.75" customHeight="1">
      <c r="A82" s="26" t="s">
        <v>501</v>
      </c>
      <c r="B82" s="26" t="s">
        <v>484</v>
      </c>
      <c r="C82" s="26" t="s">
        <v>485</v>
      </c>
      <c r="D82" s="26">
        <v>12.0</v>
      </c>
      <c r="E82" s="26">
        <v>68.0</v>
      </c>
      <c r="F82" s="26" t="s">
        <v>486</v>
      </c>
      <c r="G82" s="27"/>
      <c r="H82" s="27" t="s">
        <v>538</v>
      </c>
      <c r="I82" s="26" t="s">
        <v>487</v>
      </c>
      <c r="J82" s="26" t="s">
        <v>232</v>
      </c>
      <c r="K82" s="26" t="e">
        <v>#VALUE!</v>
      </c>
      <c r="L82" s="27"/>
    </row>
    <row r="83" ht="15.75" customHeight="1">
      <c r="A83" s="26" t="s">
        <v>501</v>
      </c>
      <c r="B83" s="26" t="s">
        <v>484</v>
      </c>
      <c r="C83" s="26" t="s">
        <v>485</v>
      </c>
      <c r="D83" s="26">
        <v>66.9</v>
      </c>
      <c r="E83" s="26">
        <v>66.0</v>
      </c>
      <c r="F83" s="26" t="s">
        <v>486</v>
      </c>
      <c r="G83" s="27"/>
      <c r="H83" s="27" t="s">
        <v>42</v>
      </c>
      <c r="I83" s="26" t="s">
        <v>491</v>
      </c>
      <c r="J83" s="27">
        <v>-3.0</v>
      </c>
      <c r="K83" s="26">
        <v>3.0</v>
      </c>
      <c r="L83" s="27"/>
    </row>
    <row r="84" ht="15.75" customHeight="1">
      <c r="A84" s="26" t="s">
        <v>501</v>
      </c>
      <c r="B84" s="26" t="s">
        <v>484</v>
      </c>
      <c r="C84" s="26" t="s">
        <v>485</v>
      </c>
      <c r="D84" s="26">
        <v>12.8</v>
      </c>
      <c r="E84" s="26">
        <v>56.0</v>
      </c>
      <c r="F84" s="26" t="s">
        <v>486</v>
      </c>
      <c r="G84" s="27"/>
      <c r="H84" s="27" t="s">
        <v>539</v>
      </c>
      <c r="I84" s="26" t="s">
        <v>487</v>
      </c>
      <c r="J84" s="26" t="s">
        <v>232</v>
      </c>
      <c r="K84" s="26" t="e">
        <v>#VALUE!</v>
      </c>
      <c r="L84" s="27"/>
    </row>
    <row r="85" ht="15.75" customHeight="1">
      <c r="A85" s="26" t="s">
        <v>501</v>
      </c>
      <c r="B85" s="26" t="s">
        <v>494</v>
      </c>
      <c r="C85" s="26" t="s">
        <v>495</v>
      </c>
      <c r="D85" s="26">
        <v>47.2</v>
      </c>
      <c r="E85" s="26">
        <v>66.0</v>
      </c>
      <c r="F85" s="26" t="s">
        <v>497</v>
      </c>
      <c r="G85" s="27"/>
      <c r="H85" s="27" t="s">
        <v>43</v>
      </c>
      <c r="I85" s="26" t="s">
        <v>524</v>
      </c>
      <c r="J85" s="27">
        <v>-1.0</v>
      </c>
      <c r="K85" s="26">
        <v>1.0</v>
      </c>
      <c r="L85" s="27"/>
    </row>
    <row r="86" ht="15.75" customHeight="1">
      <c r="A86" s="26" t="s">
        <v>508</v>
      </c>
      <c r="B86" s="26" t="s">
        <v>484</v>
      </c>
      <c r="C86" s="26" t="s">
        <v>485</v>
      </c>
      <c r="D86" s="26">
        <v>14.2</v>
      </c>
      <c r="E86" s="26">
        <v>41.0</v>
      </c>
      <c r="F86" s="26" t="s">
        <v>486</v>
      </c>
      <c r="G86" s="27"/>
      <c r="H86" s="27" t="s">
        <v>540</v>
      </c>
      <c r="I86" s="26" t="s">
        <v>487</v>
      </c>
      <c r="J86" s="26" t="s">
        <v>232</v>
      </c>
      <c r="K86" s="26" t="e">
        <v>#VALUE!</v>
      </c>
      <c r="L86" s="27"/>
    </row>
    <row r="87" ht="15.75" customHeight="1">
      <c r="A87" s="26" t="s">
        <v>501</v>
      </c>
      <c r="B87" s="26" t="s">
        <v>484</v>
      </c>
      <c r="C87" s="26" t="s">
        <v>485</v>
      </c>
      <c r="D87" s="26">
        <v>31.1</v>
      </c>
      <c r="E87" s="26">
        <v>71.0</v>
      </c>
      <c r="F87" s="26" t="s">
        <v>486</v>
      </c>
      <c r="G87" s="27"/>
      <c r="H87" s="27" t="s">
        <v>541</v>
      </c>
      <c r="I87" s="26" t="s">
        <v>487</v>
      </c>
      <c r="J87" s="26" t="s">
        <v>262</v>
      </c>
      <c r="K87" s="26" t="e">
        <v>#VALUE!</v>
      </c>
      <c r="L87" s="27"/>
    </row>
    <row r="88" ht="15.75" customHeight="1">
      <c r="A88" s="26" t="s">
        <v>501</v>
      </c>
      <c r="B88" s="26" t="s">
        <v>484</v>
      </c>
      <c r="C88" s="26" t="s">
        <v>485</v>
      </c>
      <c r="D88" s="26">
        <v>13.9</v>
      </c>
      <c r="E88" s="26">
        <v>58.0</v>
      </c>
      <c r="F88" s="26" t="s">
        <v>486</v>
      </c>
      <c r="G88" s="27"/>
      <c r="H88" s="27" t="s">
        <v>44</v>
      </c>
      <c r="I88" s="26" t="s">
        <v>491</v>
      </c>
      <c r="J88" s="27">
        <v>-1.0</v>
      </c>
      <c r="K88" s="26">
        <v>1.0</v>
      </c>
      <c r="L88" s="27"/>
    </row>
    <row r="89" ht="15.75" customHeight="1">
      <c r="A89" s="26" t="s">
        <v>508</v>
      </c>
      <c r="B89" s="26" t="s">
        <v>484</v>
      </c>
      <c r="C89" s="26" t="s">
        <v>485</v>
      </c>
      <c r="D89" s="26">
        <v>37.6</v>
      </c>
      <c r="E89" s="26">
        <v>68.0</v>
      </c>
      <c r="F89" s="26" t="s">
        <v>497</v>
      </c>
      <c r="G89" s="27"/>
      <c r="H89" s="27" t="s">
        <v>45</v>
      </c>
      <c r="I89" s="26" t="s">
        <v>491</v>
      </c>
      <c r="J89" s="27">
        <v>-2.0</v>
      </c>
      <c r="K89" s="26">
        <v>2.0</v>
      </c>
      <c r="L89" s="27"/>
    </row>
    <row r="90" ht="15.75" customHeight="1">
      <c r="A90" s="26" t="s">
        <v>508</v>
      </c>
      <c r="B90" s="26" t="s">
        <v>484</v>
      </c>
      <c r="C90" s="26" t="s">
        <v>485</v>
      </c>
      <c r="D90" s="26">
        <v>14.4</v>
      </c>
      <c r="E90" s="26">
        <v>52.0</v>
      </c>
      <c r="F90" s="26" t="s">
        <v>486</v>
      </c>
      <c r="G90" s="27"/>
      <c r="H90" s="27" t="s">
        <v>542</v>
      </c>
      <c r="I90" s="26" t="s">
        <v>487</v>
      </c>
      <c r="J90" s="27">
        <v>-8.0</v>
      </c>
      <c r="K90" s="26">
        <v>8.0</v>
      </c>
      <c r="L90" s="27"/>
    </row>
    <row r="91" ht="15.75" customHeight="1">
      <c r="A91" s="26" t="s">
        <v>483</v>
      </c>
      <c r="B91" s="26" t="s">
        <v>484</v>
      </c>
      <c r="C91" s="26" t="s">
        <v>485</v>
      </c>
      <c r="D91" s="26">
        <v>41.6</v>
      </c>
      <c r="E91" s="26">
        <v>72.0</v>
      </c>
      <c r="F91" s="26" t="s">
        <v>486</v>
      </c>
      <c r="G91" s="27"/>
      <c r="H91" s="27" t="s">
        <v>46</v>
      </c>
      <c r="I91" s="26" t="s">
        <v>487</v>
      </c>
      <c r="J91" s="27">
        <v>-5.0</v>
      </c>
      <c r="K91" s="26">
        <v>5.0</v>
      </c>
      <c r="L91" s="27"/>
    </row>
    <row r="92" ht="15.75" customHeight="1">
      <c r="A92" s="26" t="s">
        <v>483</v>
      </c>
      <c r="B92" s="26" t="s">
        <v>484</v>
      </c>
      <c r="C92" s="26" t="s">
        <v>485</v>
      </c>
      <c r="D92" s="26">
        <v>40.8</v>
      </c>
      <c r="E92" s="26">
        <v>61.0</v>
      </c>
      <c r="F92" s="26" t="s">
        <v>486</v>
      </c>
      <c r="G92" s="27"/>
      <c r="H92" s="27" t="s">
        <v>543</v>
      </c>
      <c r="I92" s="26" t="s">
        <v>487</v>
      </c>
      <c r="J92" s="26" t="s">
        <v>232</v>
      </c>
      <c r="K92" s="26" t="e">
        <v>#VALUE!</v>
      </c>
      <c r="L92" s="27"/>
    </row>
    <row r="93" ht="15.75" customHeight="1">
      <c r="A93" s="26" t="s">
        <v>501</v>
      </c>
      <c r="B93" s="26" t="s">
        <v>484</v>
      </c>
      <c r="C93" s="26" t="s">
        <v>485</v>
      </c>
      <c r="D93" s="26">
        <v>6.7</v>
      </c>
      <c r="E93" s="26">
        <v>54.0</v>
      </c>
      <c r="F93" s="26" t="s">
        <v>486</v>
      </c>
      <c r="G93" s="27"/>
      <c r="H93" s="27" t="s">
        <v>544</v>
      </c>
      <c r="I93" s="26" t="s">
        <v>487</v>
      </c>
      <c r="J93" s="26" t="s">
        <v>232</v>
      </c>
      <c r="K93" s="26" t="e">
        <v>#VALUE!</v>
      </c>
      <c r="L93" s="27"/>
    </row>
    <row r="94" ht="15.75" customHeight="1">
      <c r="A94" s="26" t="s">
        <v>501</v>
      </c>
      <c r="B94" s="26" t="s">
        <v>484</v>
      </c>
      <c r="C94" s="26" t="s">
        <v>495</v>
      </c>
      <c r="D94" s="26">
        <v>1.9</v>
      </c>
      <c r="E94" s="26">
        <v>67.0</v>
      </c>
      <c r="F94" s="26" t="s">
        <v>486</v>
      </c>
      <c r="G94" s="27"/>
      <c r="H94" s="27" t="s">
        <v>545</v>
      </c>
      <c r="I94" s="26" t="s">
        <v>546</v>
      </c>
      <c r="J94" s="26" t="s">
        <v>232</v>
      </c>
      <c r="K94" s="26" t="e">
        <v>#VALUE!</v>
      </c>
      <c r="L94" s="27"/>
    </row>
    <row r="95" ht="15.75" customHeight="1">
      <c r="A95" s="26" t="s">
        <v>508</v>
      </c>
      <c r="B95" s="26" t="s">
        <v>484</v>
      </c>
      <c r="C95" s="26" t="s">
        <v>485</v>
      </c>
      <c r="D95" s="26">
        <v>33.6</v>
      </c>
      <c r="E95" s="26">
        <v>73.0</v>
      </c>
      <c r="F95" s="26" t="s">
        <v>486</v>
      </c>
      <c r="G95" s="27"/>
      <c r="H95" s="27" t="s">
        <v>547</v>
      </c>
      <c r="I95" s="26" t="s">
        <v>487</v>
      </c>
      <c r="J95" s="26" t="s">
        <v>232</v>
      </c>
      <c r="K95" s="26" t="e">
        <v>#VALUE!</v>
      </c>
      <c r="L95" s="27"/>
    </row>
    <row r="96" ht="15.75" customHeight="1">
      <c r="A96" s="26" t="s">
        <v>501</v>
      </c>
      <c r="B96" s="26" t="s">
        <v>484</v>
      </c>
      <c r="C96" s="26" t="s">
        <v>485</v>
      </c>
      <c r="D96" s="26">
        <v>53.3</v>
      </c>
      <c r="E96" s="26">
        <v>61.0</v>
      </c>
      <c r="F96" s="26" t="s">
        <v>486</v>
      </c>
      <c r="G96" s="27"/>
      <c r="H96" s="27" t="s">
        <v>548</v>
      </c>
      <c r="I96" s="26" t="s">
        <v>487</v>
      </c>
      <c r="J96" s="26" t="s">
        <v>232</v>
      </c>
      <c r="K96" s="26" t="e">
        <v>#VALUE!</v>
      </c>
      <c r="L96" s="27"/>
    </row>
    <row r="97" ht="15.75" customHeight="1">
      <c r="A97" s="26" t="s">
        <v>501</v>
      </c>
      <c r="B97" s="26" t="s">
        <v>484</v>
      </c>
      <c r="C97" s="26" t="s">
        <v>485</v>
      </c>
      <c r="D97" s="26">
        <v>20.3</v>
      </c>
      <c r="E97" s="26">
        <v>19.0</v>
      </c>
      <c r="F97" s="26" t="s">
        <v>486</v>
      </c>
      <c r="G97" s="27"/>
      <c r="H97" s="27" t="s">
        <v>549</v>
      </c>
      <c r="I97" s="26" t="s">
        <v>487</v>
      </c>
      <c r="J97" s="27">
        <v>-7.0</v>
      </c>
      <c r="K97" s="26">
        <v>7.0</v>
      </c>
      <c r="L97" s="27"/>
    </row>
    <row r="98" ht="15.75" customHeight="1">
      <c r="A98" s="26" t="s">
        <v>501</v>
      </c>
      <c r="B98" s="26" t="s">
        <v>484</v>
      </c>
      <c r="C98" s="26" t="s">
        <v>485</v>
      </c>
      <c r="D98" s="26">
        <v>4.1</v>
      </c>
      <c r="E98" s="26">
        <v>61.0</v>
      </c>
      <c r="F98" s="26" t="s">
        <v>486</v>
      </c>
      <c r="G98" s="27"/>
      <c r="H98" s="27" t="s">
        <v>550</v>
      </c>
      <c r="I98" s="26" t="s">
        <v>487</v>
      </c>
      <c r="J98" s="26" t="s">
        <v>232</v>
      </c>
      <c r="K98" s="26" t="e">
        <v>#VALUE!</v>
      </c>
      <c r="L98" s="27"/>
    </row>
    <row r="99" ht="15.75" customHeight="1">
      <c r="A99" s="26" t="s">
        <v>508</v>
      </c>
      <c r="B99" s="26" t="s">
        <v>484</v>
      </c>
      <c r="C99" s="26" t="s">
        <v>485</v>
      </c>
      <c r="D99" s="26">
        <v>46.7</v>
      </c>
      <c r="E99" s="26">
        <v>69.0</v>
      </c>
      <c r="F99" s="26" t="s">
        <v>497</v>
      </c>
      <c r="G99" s="27"/>
      <c r="H99" s="27" t="s">
        <v>47</v>
      </c>
      <c r="I99" s="26" t="s">
        <v>487</v>
      </c>
      <c r="J99" s="27">
        <v>-4.0</v>
      </c>
      <c r="K99" s="26">
        <v>4.0</v>
      </c>
      <c r="L99" s="27"/>
    </row>
    <row r="100" ht="15.75" customHeight="1">
      <c r="A100" s="26" t="s">
        <v>501</v>
      </c>
      <c r="B100" s="26" t="s">
        <v>484</v>
      </c>
      <c r="C100" s="26" t="s">
        <v>485</v>
      </c>
      <c r="D100" s="26">
        <v>5.1</v>
      </c>
      <c r="E100" s="26">
        <v>55.0</v>
      </c>
      <c r="F100" s="26" t="s">
        <v>497</v>
      </c>
      <c r="G100" s="27"/>
      <c r="H100" s="27" t="s">
        <v>551</v>
      </c>
      <c r="I100" s="26" t="s">
        <v>487</v>
      </c>
      <c r="J100" s="26" t="s">
        <v>232</v>
      </c>
      <c r="K100" s="26" t="e">
        <v>#VALUE!</v>
      </c>
      <c r="L100" s="27"/>
    </row>
    <row r="101" ht="15.75" customHeight="1">
      <c r="A101" s="26" t="s">
        <v>501</v>
      </c>
      <c r="B101" s="26" t="s">
        <v>484</v>
      </c>
      <c r="C101" s="26" t="s">
        <v>485</v>
      </c>
      <c r="D101" s="26">
        <v>18.5</v>
      </c>
      <c r="E101" s="26">
        <v>56.0</v>
      </c>
      <c r="F101" s="26" t="s">
        <v>486</v>
      </c>
      <c r="G101" s="27"/>
      <c r="H101" s="27" t="s">
        <v>552</v>
      </c>
      <c r="I101" s="26" t="s">
        <v>487</v>
      </c>
      <c r="J101" s="27">
        <v>-10.0</v>
      </c>
      <c r="K101" s="26">
        <v>10.0</v>
      </c>
      <c r="L101" s="27"/>
    </row>
    <row r="102" ht="15.75" customHeight="1">
      <c r="A102" s="26" t="s">
        <v>501</v>
      </c>
      <c r="B102" s="26" t="s">
        <v>484</v>
      </c>
      <c r="C102" s="26" t="s">
        <v>485</v>
      </c>
      <c r="D102" s="26">
        <v>33.5</v>
      </c>
      <c r="E102" s="26">
        <v>51.0</v>
      </c>
      <c r="F102" s="26" t="s">
        <v>486</v>
      </c>
      <c r="G102" s="27"/>
      <c r="H102" s="27" t="s">
        <v>48</v>
      </c>
      <c r="I102" s="26" t="s">
        <v>487</v>
      </c>
      <c r="J102" s="27">
        <v>-7.0</v>
      </c>
      <c r="K102" s="26">
        <v>7.0</v>
      </c>
      <c r="L102" s="27"/>
    </row>
    <row r="103" ht="15.75" customHeight="1">
      <c r="A103" s="26" t="s">
        <v>501</v>
      </c>
      <c r="B103" s="26" t="s">
        <v>494</v>
      </c>
      <c r="C103" s="26" t="s">
        <v>485</v>
      </c>
      <c r="D103" s="26">
        <v>15.0</v>
      </c>
      <c r="E103" s="26">
        <v>64.0</v>
      </c>
      <c r="F103" s="26" t="s">
        <v>486</v>
      </c>
      <c r="G103" s="27"/>
      <c r="H103" s="27" t="s">
        <v>49</v>
      </c>
      <c r="I103" s="26" t="s">
        <v>491</v>
      </c>
      <c r="J103" s="27">
        <v>-1.0</v>
      </c>
      <c r="K103" s="26">
        <v>1.0</v>
      </c>
      <c r="L103" s="27"/>
    </row>
    <row r="104" ht="15.75" customHeight="1">
      <c r="A104" s="26" t="s">
        <v>501</v>
      </c>
      <c r="B104" s="26" t="s">
        <v>484</v>
      </c>
      <c r="C104" s="26" t="s">
        <v>495</v>
      </c>
      <c r="D104" s="26">
        <v>3.9</v>
      </c>
      <c r="E104" s="26">
        <v>74.0</v>
      </c>
      <c r="F104" s="26" t="s">
        <v>486</v>
      </c>
      <c r="G104" s="27"/>
      <c r="H104" s="27" t="s">
        <v>553</v>
      </c>
      <c r="I104" s="26" t="s">
        <v>487</v>
      </c>
      <c r="J104" s="26" t="s">
        <v>232</v>
      </c>
      <c r="K104" s="26" t="e">
        <v>#VALUE!</v>
      </c>
      <c r="L104" s="27"/>
    </row>
    <row r="105" ht="15.75" customHeight="1">
      <c r="A105" s="26" t="s">
        <v>501</v>
      </c>
      <c r="B105" s="26" t="s">
        <v>494</v>
      </c>
      <c r="C105" s="26" t="s">
        <v>495</v>
      </c>
      <c r="D105" s="26">
        <v>0.9</v>
      </c>
      <c r="E105" s="26">
        <v>72.0</v>
      </c>
      <c r="F105" s="26" t="s">
        <v>486</v>
      </c>
      <c r="G105" s="27"/>
      <c r="H105" s="27" t="s">
        <v>50</v>
      </c>
      <c r="I105" s="26" t="s">
        <v>491</v>
      </c>
      <c r="J105" s="27">
        <v>-3.0</v>
      </c>
      <c r="K105" s="26">
        <v>3.0</v>
      </c>
      <c r="L105" s="27"/>
    </row>
    <row r="106" ht="15.75" customHeight="1">
      <c r="A106" s="26" t="s">
        <v>508</v>
      </c>
      <c r="B106" s="26" t="s">
        <v>484</v>
      </c>
      <c r="C106" s="26" t="s">
        <v>485</v>
      </c>
      <c r="D106" s="26">
        <v>8.0</v>
      </c>
      <c r="E106" s="26">
        <v>22.0</v>
      </c>
      <c r="F106" s="26" t="s">
        <v>486</v>
      </c>
      <c r="G106" s="27"/>
      <c r="H106" s="27" t="s">
        <v>554</v>
      </c>
      <c r="I106" s="26" t="s">
        <v>487</v>
      </c>
      <c r="J106" s="26" t="s">
        <v>232</v>
      </c>
      <c r="K106" s="26" t="e">
        <v>#VALUE!</v>
      </c>
      <c r="L106" s="27"/>
    </row>
    <row r="107" ht="15.75" customHeight="1">
      <c r="A107" s="26" t="s">
        <v>508</v>
      </c>
      <c r="B107" s="26" t="s">
        <v>513</v>
      </c>
      <c r="C107" s="26" t="s">
        <v>495</v>
      </c>
      <c r="D107" s="26">
        <v>17.3</v>
      </c>
      <c r="E107" s="26">
        <v>70.0</v>
      </c>
      <c r="F107" s="26" t="s">
        <v>497</v>
      </c>
      <c r="G107" s="27"/>
      <c r="H107" s="27" t="s">
        <v>47</v>
      </c>
      <c r="I107" s="26" t="s">
        <v>487</v>
      </c>
      <c r="J107" s="26" t="s">
        <v>232</v>
      </c>
      <c r="K107" s="26" t="e">
        <v>#VALUE!</v>
      </c>
      <c r="L107" s="27"/>
    </row>
    <row r="108" ht="15.75" customHeight="1">
      <c r="A108" s="26" t="s">
        <v>508</v>
      </c>
      <c r="B108" s="26" t="s">
        <v>484</v>
      </c>
      <c r="C108" s="26" t="s">
        <v>485</v>
      </c>
      <c r="D108" s="26">
        <v>12.5</v>
      </c>
      <c r="E108" s="26">
        <v>46.0</v>
      </c>
      <c r="F108" s="26" t="s">
        <v>486</v>
      </c>
      <c r="G108" s="27"/>
      <c r="H108" s="27" t="s">
        <v>555</v>
      </c>
      <c r="I108" s="26" t="s">
        <v>491</v>
      </c>
      <c r="J108" s="27">
        <v>0.0</v>
      </c>
      <c r="K108" s="26">
        <v>0.0</v>
      </c>
      <c r="L108" s="27"/>
    </row>
    <row r="109" ht="15.75" customHeight="1">
      <c r="A109" s="26" t="s">
        <v>508</v>
      </c>
      <c r="B109" s="26" t="s">
        <v>484</v>
      </c>
      <c r="C109" s="26" t="s">
        <v>485</v>
      </c>
      <c r="D109" s="26">
        <v>1.4</v>
      </c>
      <c r="E109" s="26">
        <v>70.0</v>
      </c>
      <c r="F109" s="26" t="s">
        <v>486</v>
      </c>
      <c r="G109" s="27"/>
      <c r="H109" s="27" t="s">
        <v>556</v>
      </c>
      <c r="I109" s="26" t="s">
        <v>487</v>
      </c>
      <c r="J109" s="26" t="s">
        <v>232</v>
      </c>
      <c r="K109" s="26" t="e">
        <v>#VALUE!</v>
      </c>
      <c r="L109" s="27"/>
    </row>
    <row r="110" ht="15.75" customHeight="1">
      <c r="A110" s="26" t="s">
        <v>483</v>
      </c>
      <c r="B110" s="26" t="s">
        <v>484</v>
      </c>
      <c r="C110" s="26" t="s">
        <v>485</v>
      </c>
      <c r="D110" s="26">
        <v>11.7</v>
      </c>
      <c r="E110" s="26">
        <v>50.0</v>
      </c>
      <c r="F110" s="26" t="s">
        <v>486</v>
      </c>
      <c r="G110" s="27"/>
      <c r="H110" s="27" t="s">
        <v>557</v>
      </c>
      <c r="I110" s="26" t="s">
        <v>487</v>
      </c>
      <c r="J110" s="26" t="s">
        <v>232</v>
      </c>
      <c r="K110" s="26" t="e">
        <v>#VALUE!</v>
      </c>
      <c r="L110" s="27"/>
    </row>
    <row r="111" ht="15.75" customHeight="1">
      <c r="A111" s="26" t="s">
        <v>508</v>
      </c>
      <c r="B111" s="26" t="s">
        <v>484</v>
      </c>
      <c r="C111" s="26" t="s">
        <v>485</v>
      </c>
      <c r="D111" s="26">
        <v>18.8</v>
      </c>
      <c r="E111" s="26">
        <v>58.0</v>
      </c>
      <c r="F111" s="26" t="s">
        <v>486</v>
      </c>
      <c r="G111" s="27"/>
      <c r="H111" s="27" t="s">
        <v>558</v>
      </c>
      <c r="I111" s="26" t="s">
        <v>487</v>
      </c>
      <c r="J111" s="26" t="s">
        <v>232</v>
      </c>
      <c r="K111" s="26" t="e">
        <v>#VALUE!</v>
      </c>
      <c r="L111" s="27"/>
    </row>
    <row r="112" ht="15.75" customHeight="1">
      <c r="A112" s="26" t="s">
        <v>508</v>
      </c>
      <c r="B112" s="26" t="s">
        <v>484</v>
      </c>
      <c r="C112" s="26" t="s">
        <v>485</v>
      </c>
      <c r="D112" s="26">
        <v>9.3</v>
      </c>
      <c r="E112" s="26">
        <v>63.0</v>
      </c>
      <c r="F112" s="26" t="s">
        <v>486</v>
      </c>
      <c r="G112" s="27"/>
      <c r="H112" s="27" t="s">
        <v>559</v>
      </c>
      <c r="I112" s="26" t="s">
        <v>487</v>
      </c>
      <c r="J112" s="26" t="s">
        <v>232</v>
      </c>
      <c r="K112" s="26" t="e">
        <v>#VALUE!</v>
      </c>
      <c r="L112" s="27"/>
    </row>
    <row r="113" ht="15.75" customHeight="1">
      <c r="A113" s="26" t="s">
        <v>508</v>
      </c>
      <c r="B113" s="26" t="s">
        <v>484</v>
      </c>
      <c r="C113" s="29" t="s">
        <v>560</v>
      </c>
      <c r="D113" s="29" t="s">
        <v>560</v>
      </c>
      <c r="E113" s="26">
        <v>58.0</v>
      </c>
      <c r="F113" s="26" t="s">
        <v>486</v>
      </c>
      <c r="G113" s="27"/>
      <c r="H113" s="27" t="s">
        <v>558</v>
      </c>
      <c r="I113" s="26" t="s">
        <v>487</v>
      </c>
      <c r="J113" s="26" t="s">
        <v>232</v>
      </c>
      <c r="K113" s="26" t="e">
        <v>#VALUE!</v>
      </c>
      <c r="L113" s="27"/>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6.29"/>
    <col customWidth="1" min="2" max="2" width="15.43"/>
    <col customWidth="1" min="3" max="21" width="11.86"/>
    <col customWidth="1" min="22" max="22" width="12.29"/>
    <col customWidth="1" min="23" max="23" width="10.14"/>
    <col customWidth="1" min="24" max="24" width="12.14"/>
    <col customWidth="1" min="25" max="26" width="10.14"/>
    <col customWidth="1" min="27" max="27" width="11.43"/>
    <col customWidth="1" min="28" max="28" width="13.29"/>
    <col customWidth="1" min="29" max="29" width="10.14"/>
    <col customWidth="1" min="30" max="30" width="12.71"/>
    <col customWidth="1" min="31" max="31" width="11.86"/>
    <col customWidth="1" min="32" max="32" width="11.14"/>
    <col customWidth="1" min="33" max="41" width="10.14"/>
    <col customWidth="1" min="42" max="67" width="8.71"/>
    <col customWidth="1" min="68" max="68" width="12.86"/>
    <col customWidth="1" min="69" max="69" width="10.43"/>
  </cols>
  <sheetData>
    <row r="1">
      <c r="A1" s="1"/>
      <c r="B1" s="1" t="s">
        <v>218</v>
      </c>
      <c r="C1" s="1" t="s">
        <v>1</v>
      </c>
      <c r="D1" s="1" t="s">
        <v>2</v>
      </c>
      <c r="E1" s="1" t="s">
        <v>3</v>
      </c>
      <c r="F1" s="1" t="s">
        <v>496</v>
      </c>
      <c r="G1" s="1" t="s">
        <v>4</v>
      </c>
      <c r="H1" s="1" t="s">
        <v>5</v>
      </c>
      <c r="I1" s="1" t="s">
        <v>6</v>
      </c>
      <c r="J1" s="1" t="s">
        <v>7</v>
      </c>
      <c r="K1" s="1" t="s">
        <v>8</v>
      </c>
      <c r="L1" s="1" t="s">
        <v>9</v>
      </c>
      <c r="M1" s="1" t="s">
        <v>10</v>
      </c>
      <c r="N1" s="1" t="s">
        <v>11</v>
      </c>
      <c r="O1" s="1" t="s">
        <v>12</v>
      </c>
      <c r="P1" s="1" t="s">
        <v>503</v>
      </c>
      <c r="Q1" s="1" t="s">
        <v>13</v>
      </c>
      <c r="R1" s="1" t="s">
        <v>14</v>
      </c>
      <c r="S1" s="1" t="s">
        <v>15</v>
      </c>
      <c r="T1" s="1" t="s">
        <v>511</v>
      </c>
      <c r="U1" s="1" t="s">
        <v>16</v>
      </c>
      <c r="V1" s="1" t="s">
        <v>512</v>
      </c>
      <c r="W1" s="1" t="s">
        <v>17</v>
      </c>
      <c r="X1" s="1" t="s">
        <v>18</v>
      </c>
      <c r="Y1" s="1" t="s">
        <v>19</v>
      </c>
      <c r="Z1" s="1" t="s">
        <v>20</v>
      </c>
      <c r="AA1" s="1" t="s">
        <v>21</v>
      </c>
      <c r="AB1" s="1" t="s">
        <v>22</v>
      </c>
      <c r="AC1" s="1" t="s">
        <v>23</v>
      </c>
      <c r="AD1" s="1" t="s">
        <v>514</v>
      </c>
      <c r="AE1" s="1" t="s">
        <v>24</v>
      </c>
      <c r="AF1" s="1" t="s">
        <v>25</v>
      </c>
      <c r="AG1" s="1" t="s">
        <v>26</v>
      </c>
      <c r="AH1" s="1" t="s">
        <v>27</v>
      </c>
      <c r="AI1" s="1" t="s">
        <v>28</v>
      </c>
      <c r="AJ1" s="30" t="s">
        <v>517</v>
      </c>
      <c r="AK1" s="1" t="s">
        <v>29</v>
      </c>
      <c r="AL1" s="1" t="s">
        <v>30</v>
      </c>
      <c r="AM1" s="30" t="s">
        <v>518</v>
      </c>
      <c r="AN1" s="1" t="s">
        <v>31</v>
      </c>
      <c r="AO1" s="1" t="s">
        <v>0</v>
      </c>
      <c r="AP1" s="1" t="s">
        <v>526</v>
      </c>
      <c r="AQ1" s="1" t="s">
        <v>527</v>
      </c>
      <c r="AR1" s="1" t="s">
        <v>32</v>
      </c>
      <c r="AS1" s="1" t="s">
        <v>33</v>
      </c>
      <c r="AT1" s="1" t="s">
        <v>0</v>
      </c>
      <c r="AU1" s="1" t="s">
        <v>529</v>
      </c>
      <c r="AV1" s="1" t="s">
        <v>34</v>
      </c>
      <c r="AW1" s="1" t="s">
        <v>35</v>
      </c>
      <c r="AX1" s="1" t="s">
        <v>36</v>
      </c>
      <c r="AY1" s="1" t="s">
        <v>37</v>
      </c>
      <c r="AZ1" s="1" t="s">
        <v>38</v>
      </c>
      <c r="BA1" s="1" t="s">
        <v>39</v>
      </c>
      <c r="BB1" s="1" t="s">
        <v>40</v>
      </c>
      <c r="BC1" s="1" t="s">
        <v>536</v>
      </c>
      <c r="BD1" s="1" t="s">
        <v>537</v>
      </c>
      <c r="BE1" s="1" t="s">
        <v>41</v>
      </c>
      <c r="BF1" s="1" t="s">
        <v>42</v>
      </c>
      <c r="BG1" s="1" t="s">
        <v>43</v>
      </c>
      <c r="BH1" s="1" t="s">
        <v>44</v>
      </c>
      <c r="BI1" s="1" t="s">
        <v>45</v>
      </c>
      <c r="BJ1" s="1" t="s">
        <v>46</v>
      </c>
      <c r="BK1" s="1" t="s">
        <v>549</v>
      </c>
      <c r="BL1" s="1" t="s">
        <v>47</v>
      </c>
      <c r="BM1" s="1" t="s">
        <v>48</v>
      </c>
      <c r="BN1" s="1" t="s">
        <v>49</v>
      </c>
      <c r="BO1" s="1" t="s">
        <v>50</v>
      </c>
      <c r="BP1" s="1" t="s">
        <v>555</v>
      </c>
      <c r="BQ1" s="2" t="s">
        <v>51</v>
      </c>
    </row>
    <row r="2">
      <c r="A2" s="4" t="s">
        <v>64</v>
      </c>
      <c r="B2" s="5" t="s">
        <v>65</v>
      </c>
      <c r="C2" s="1"/>
      <c r="D2" s="1"/>
      <c r="E2" s="1"/>
      <c r="F2" s="1" t="s">
        <v>561</v>
      </c>
      <c r="G2" s="1"/>
      <c r="I2" s="1"/>
      <c r="J2" s="1"/>
      <c r="K2" s="1"/>
      <c r="L2" s="6" t="s">
        <v>66</v>
      </c>
      <c r="M2" s="6" t="s">
        <v>67</v>
      </c>
      <c r="N2" s="5" t="s">
        <v>68</v>
      </c>
      <c r="O2" s="5" t="s">
        <v>69</v>
      </c>
      <c r="P2" s="5" t="s">
        <v>562</v>
      </c>
      <c r="Q2" s="1"/>
      <c r="R2" s="1"/>
      <c r="S2" s="1"/>
      <c r="T2" s="5" t="s">
        <v>75</v>
      </c>
      <c r="U2" s="1"/>
      <c r="V2" s="5" t="s">
        <v>75</v>
      </c>
      <c r="W2" s="5" t="s">
        <v>70</v>
      </c>
      <c r="X2" s="1"/>
      <c r="Y2" s="1"/>
      <c r="Z2" s="1"/>
      <c r="AA2" s="1"/>
      <c r="AB2" s="5" t="s">
        <v>71</v>
      </c>
      <c r="AC2" s="1"/>
      <c r="AD2" s="1" t="s">
        <v>561</v>
      </c>
      <c r="AE2" s="1"/>
      <c r="AF2" s="5" t="s">
        <v>72</v>
      </c>
      <c r="AG2" s="5" t="s">
        <v>73</v>
      </c>
      <c r="AH2" s="1"/>
      <c r="AI2" s="1"/>
      <c r="AJ2" s="1" t="s">
        <v>563</v>
      </c>
      <c r="AK2" s="1"/>
      <c r="AL2" s="1"/>
      <c r="AM2" s="1" t="s">
        <v>563</v>
      </c>
      <c r="AN2" s="1" t="s">
        <v>74</v>
      </c>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2" t="s">
        <v>81</v>
      </c>
    </row>
    <row r="3">
      <c r="A3" s="1" t="s">
        <v>93</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c r="A4" s="1" t="s">
        <v>153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c r="A5" s="1" t="s">
        <v>217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row>
    <row r="6">
      <c r="A6" s="2" t="s">
        <v>219</v>
      </c>
      <c r="B6" s="8">
        <v>44623.0</v>
      </c>
      <c r="C6" s="8">
        <v>44642.0</v>
      </c>
      <c r="D6" s="8">
        <v>44655.0</v>
      </c>
      <c r="E6" s="8">
        <v>44659.0</v>
      </c>
      <c r="F6" s="1"/>
      <c r="G6" s="8">
        <v>44694.0</v>
      </c>
      <c r="H6" s="8">
        <v>44742.0</v>
      </c>
      <c r="I6" s="8">
        <v>44763.0</v>
      </c>
      <c r="J6" s="8">
        <v>44813.0</v>
      </c>
      <c r="K6" s="8">
        <v>44923.0</v>
      </c>
      <c r="L6" s="8">
        <v>44935.0</v>
      </c>
      <c r="M6" s="8">
        <v>45034.0</v>
      </c>
      <c r="N6" s="8">
        <v>45034.0</v>
      </c>
      <c r="O6" s="8">
        <v>45150.0</v>
      </c>
      <c r="P6" s="8"/>
      <c r="Q6" s="8">
        <v>45267.0</v>
      </c>
      <c r="R6" s="8">
        <v>45275.0</v>
      </c>
      <c r="S6" s="8">
        <v>45296.0</v>
      </c>
      <c r="T6" s="8">
        <v>45300.0</v>
      </c>
      <c r="U6" s="8">
        <v>45303.0</v>
      </c>
      <c r="V6" s="31">
        <v>45308.0</v>
      </c>
      <c r="W6" s="8"/>
      <c r="X6" s="8">
        <v>45334.0</v>
      </c>
      <c r="Y6" s="8">
        <v>45332.0</v>
      </c>
      <c r="Z6" s="8">
        <v>45336.0</v>
      </c>
      <c r="AA6" s="8">
        <v>45344.0</v>
      </c>
      <c r="AB6" s="8">
        <v>45344.0</v>
      </c>
      <c r="AC6" s="8">
        <v>45345.0</v>
      </c>
      <c r="AD6" s="8"/>
      <c r="AE6" s="8">
        <v>45386.0</v>
      </c>
      <c r="AF6" s="8">
        <v>45399.0</v>
      </c>
      <c r="AG6" s="8">
        <v>45400.0</v>
      </c>
      <c r="AH6" s="8">
        <v>45411.0</v>
      </c>
      <c r="AI6" s="8">
        <v>45422.0</v>
      </c>
      <c r="AJ6" s="8"/>
      <c r="AK6" s="8">
        <v>45433.0</v>
      </c>
      <c r="AL6" s="8">
        <v>45433.0</v>
      </c>
      <c r="AM6" s="8"/>
      <c r="AN6" s="8">
        <v>45459.0</v>
      </c>
      <c r="AO6" s="8">
        <v>45492.0</v>
      </c>
      <c r="AP6" s="1"/>
      <c r="AQ6" s="1"/>
      <c r="AR6" s="1"/>
      <c r="AS6" s="1"/>
      <c r="AT6" s="1"/>
      <c r="AU6" s="1"/>
      <c r="AV6" s="1"/>
      <c r="AW6" s="1"/>
      <c r="AX6" s="1"/>
      <c r="AY6" s="1"/>
      <c r="AZ6" s="1"/>
      <c r="BA6" s="1"/>
      <c r="BB6" s="1"/>
      <c r="BC6" s="1"/>
      <c r="BD6" s="1"/>
      <c r="BE6" s="1"/>
      <c r="BF6" s="1"/>
      <c r="BG6" s="1"/>
      <c r="BH6" s="1"/>
      <c r="BI6" s="1"/>
      <c r="BJ6" s="1"/>
      <c r="BK6" s="1"/>
      <c r="BL6" s="1"/>
      <c r="BM6" s="1"/>
      <c r="BN6" s="1"/>
      <c r="BO6" s="1"/>
      <c r="BP6" s="1"/>
      <c r="BQ6" s="9">
        <v>46038.0</v>
      </c>
    </row>
    <row r="7">
      <c r="A7" s="1" t="s">
        <v>220</v>
      </c>
      <c r="B7" s="1">
        <v>58.0</v>
      </c>
      <c r="C7" s="1">
        <v>48.0</v>
      </c>
      <c r="D7" s="1">
        <v>19.0</v>
      </c>
      <c r="E7" s="1">
        <v>56.0</v>
      </c>
      <c r="F7" s="1"/>
      <c r="G7" s="1">
        <v>30.0</v>
      </c>
      <c r="H7" s="1">
        <v>33.0</v>
      </c>
      <c r="I7" s="1">
        <v>60.0</v>
      </c>
      <c r="J7" s="1">
        <v>48.0</v>
      </c>
      <c r="K7" s="1">
        <v>65.0</v>
      </c>
      <c r="L7" s="1">
        <v>55.0</v>
      </c>
      <c r="M7" s="1">
        <v>66.0</v>
      </c>
      <c r="N7" s="1">
        <v>46.0</v>
      </c>
      <c r="O7" s="1">
        <v>62.0</v>
      </c>
      <c r="P7" s="1"/>
      <c r="Q7" s="1">
        <v>64.0</v>
      </c>
      <c r="R7" s="1">
        <v>63.0</v>
      </c>
      <c r="S7" s="1">
        <v>54.0</v>
      </c>
      <c r="T7" s="1">
        <v>63.0</v>
      </c>
      <c r="U7" s="1">
        <v>62.0</v>
      </c>
      <c r="V7" s="1">
        <v>52.0</v>
      </c>
      <c r="W7" s="1"/>
      <c r="X7" s="1">
        <v>63.0</v>
      </c>
      <c r="Y7" s="1">
        <v>52.0</v>
      </c>
      <c r="Z7" s="1">
        <v>59.0</v>
      </c>
      <c r="AA7" s="1">
        <v>51.0</v>
      </c>
      <c r="AB7" s="1">
        <v>61.0</v>
      </c>
      <c r="AC7" s="1">
        <v>77.0</v>
      </c>
      <c r="AD7" s="1"/>
      <c r="AE7" s="1">
        <v>53.0</v>
      </c>
      <c r="AF7" s="1">
        <v>50.0</v>
      </c>
      <c r="AG7" s="1">
        <v>67.0</v>
      </c>
      <c r="AH7" s="1">
        <v>71.0</v>
      </c>
      <c r="AI7" s="1">
        <v>65.0</v>
      </c>
      <c r="AK7" s="1">
        <v>69.0</v>
      </c>
      <c r="AL7" s="1">
        <v>55.0</v>
      </c>
      <c r="AM7" s="1"/>
      <c r="AN7" s="1">
        <v>74.0</v>
      </c>
      <c r="AO7" s="1">
        <v>64.0</v>
      </c>
      <c r="AP7" s="1"/>
      <c r="AQ7" s="1"/>
      <c r="AR7" s="1"/>
      <c r="AS7" s="1"/>
      <c r="AT7" s="1"/>
      <c r="AU7" s="1"/>
      <c r="AV7" s="1"/>
      <c r="AW7" s="1"/>
      <c r="AX7" s="1"/>
      <c r="AY7" s="1"/>
      <c r="AZ7" s="1"/>
      <c r="BA7" s="1"/>
      <c r="BB7" s="1"/>
      <c r="BC7" s="1"/>
      <c r="BD7" s="1"/>
      <c r="BE7" s="1"/>
      <c r="BF7" s="1"/>
      <c r="BG7" s="1"/>
      <c r="BH7" s="1"/>
      <c r="BI7" s="1"/>
      <c r="BJ7" s="1"/>
      <c r="BK7" s="1"/>
      <c r="BL7" s="1"/>
      <c r="BM7" s="1"/>
      <c r="BN7" s="1"/>
      <c r="BO7" s="1"/>
      <c r="BP7" s="1"/>
      <c r="BQ7" s="2">
        <v>72.0</v>
      </c>
    </row>
    <row r="8">
      <c r="A8" s="1" t="s">
        <v>221</v>
      </c>
      <c r="B8" s="1">
        <v>84.0</v>
      </c>
      <c r="C8" s="1">
        <v>78.0</v>
      </c>
      <c r="D8" s="1">
        <v>75.0</v>
      </c>
      <c r="E8" s="1">
        <v>96.0</v>
      </c>
      <c r="F8" s="1"/>
      <c r="G8" s="1">
        <v>59.0</v>
      </c>
      <c r="H8" s="1">
        <v>73.0</v>
      </c>
      <c r="I8" s="1">
        <v>87.0</v>
      </c>
      <c r="J8" s="1">
        <v>132.0</v>
      </c>
      <c r="K8" s="1">
        <v>88.0</v>
      </c>
      <c r="L8" s="1">
        <v>116.0</v>
      </c>
      <c r="M8" s="1">
        <v>65.0</v>
      </c>
      <c r="N8" s="1">
        <v>71.0</v>
      </c>
      <c r="O8" s="1">
        <v>56.0</v>
      </c>
      <c r="P8" s="1"/>
      <c r="Q8" s="1">
        <v>73.0</v>
      </c>
      <c r="R8" s="1">
        <v>162.0</v>
      </c>
      <c r="S8" s="1">
        <v>71.0</v>
      </c>
      <c r="T8" s="1">
        <v>121.0</v>
      </c>
      <c r="U8" s="1">
        <v>88.0</v>
      </c>
      <c r="V8" s="1">
        <v>87.0</v>
      </c>
      <c r="W8" s="1"/>
      <c r="X8" s="1">
        <v>53.0</v>
      </c>
      <c r="Y8" s="1">
        <v>65.0</v>
      </c>
      <c r="Z8" s="1">
        <v>70.0</v>
      </c>
      <c r="AA8" s="1">
        <v>134.0</v>
      </c>
      <c r="AB8" s="1">
        <v>97.0</v>
      </c>
      <c r="AC8" s="1">
        <v>94.0</v>
      </c>
      <c r="AD8" s="1"/>
      <c r="AE8" s="1">
        <v>107.0</v>
      </c>
      <c r="AF8" s="1">
        <v>114.0</v>
      </c>
      <c r="AG8" s="1">
        <v>85.0</v>
      </c>
      <c r="AH8" s="1">
        <v>48.0</v>
      </c>
      <c r="AI8" s="1">
        <v>91.0</v>
      </c>
      <c r="AJ8" s="1"/>
      <c r="AK8" s="1">
        <v>61.0</v>
      </c>
      <c r="AL8" s="1">
        <v>47.0</v>
      </c>
      <c r="AM8" s="1"/>
      <c r="AN8" s="1">
        <v>91.0</v>
      </c>
      <c r="AO8" s="1">
        <v>80.0</v>
      </c>
      <c r="AP8" s="1"/>
      <c r="AQ8" s="1"/>
      <c r="AR8" s="1"/>
      <c r="AS8" s="1"/>
      <c r="AT8" s="1"/>
      <c r="AU8" s="1"/>
      <c r="AV8" s="1"/>
      <c r="AW8" s="1"/>
      <c r="AX8" s="1"/>
      <c r="AY8" s="1"/>
      <c r="AZ8" s="1"/>
      <c r="BA8" s="1"/>
      <c r="BB8" s="1"/>
      <c r="BC8" s="1"/>
      <c r="BD8" s="1"/>
      <c r="BE8" s="1"/>
      <c r="BF8" s="1"/>
      <c r="BG8" s="1"/>
      <c r="BH8" s="1"/>
      <c r="BI8" s="1"/>
      <c r="BJ8" s="1"/>
      <c r="BK8" s="1"/>
      <c r="BL8" s="1"/>
      <c r="BM8" s="1"/>
      <c r="BN8" s="1"/>
      <c r="BO8" s="1"/>
      <c r="BP8" s="1"/>
      <c r="BQ8" s="2">
        <v>87.0</v>
      </c>
    </row>
    <row r="9">
      <c r="A9" s="2" t="s">
        <v>222</v>
      </c>
      <c r="B9" s="2">
        <v>180.0</v>
      </c>
      <c r="C9" s="2">
        <v>175.0</v>
      </c>
      <c r="D9" s="2">
        <v>168.0</v>
      </c>
      <c r="E9" s="2">
        <v>175.0</v>
      </c>
      <c r="G9" s="2">
        <v>163.0</v>
      </c>
      <c r="H9" s="2">
        <v>152.0</v>
      </c>
      <c r="I9" s="2">
        <v>175.0</v>
      </c>
      <c r="J9" s="2">
        <v>185.0</v>
      </c>
      <c r="K9" s="2">
        <v>188.0</v>
      </c>
      <c r="L9" s="2">
        <v>193.0</v>
      </c>
      <c r="M9" s="2">
        <v>178.0</v>
      </c>
      <c r="N9" s="2">
        <v>165.0</v>
      </c>
      <c r="O9" s="2">
        <v>153.0</v>
      </c>
      <c r="Q9" s="2">
        <v>163.0</v>
      </c>
      <c r="R9" s="2">
        <v>196.0</v>
      </c>
      <c r="S9" s="2">
        <v>170.0</v>
      </c>
      <c r="T9" s="2">
        <v>198.0</v>
      </c>
      <c r="U9" s="2">
        <v>173.0</v>
      </c>
      <c r="V9" s="2">
        <v>180.0</v>
      </c>
      <c r="X9" s="2">
        <v>160.0</v>
      </c>
      <c r="Y9" s="2">
        <v>158.0</v>
      </c>
      <c r="Z9" s="2">
        <v>178.0</v>
      </c>
      <c r="AA9" s="2">
        <v>188.0</v>
      </c>
      <c r="AB9" s="2">
        <v>158.0</v>
      </c>
      <c r="AC9" s="2">
        <v>173.0</v>
      </c>
      <c r="AE9" s="2">
        <v>173.0</v>
      </c>
      <c r="AF9" s="2">
        <v>185.0</v>
      </c>
      <c r="AG9" s="2">
        <v>180.0</v>
      </c>
      <c r="AH9" s="2">
        <v>183.0</v>
      </c>
      <c r="AI9" s="2">
        <v>170.0</v>
      </c>
      <c r="AK9" s="2">
        <v>152.0</v>
      </c>
      <c r="AL9" s="2">
        <v>164.0</v>
      </c>
      <c r="AN9" s="2">
        <v>168.0</v>
      </c>
      <c r="AO9" s="2">
        <v>188.0</v>
      </c>
      <c r="BQ9" s="2">
        <v>178.0</v>
      </c>
    </row>
    <row r="10">
      <c r="A10" s="1" t="s">
        <v>223</v>
      </c>
      <c r="B10" s="1">
        <v>1.0</v>
      </c>
      <c r="C10" s="1">
        <v>1.0</v>
      </c>
      <c r="D10" s="1">
        <v>1.0</v>
      </c>
      <c r="E10" s="1">
        <v>1.0</v>
      </c>
      <c r="F10" s="1"/>
      <c r="G10" s="1">
        <v>2.0</v>
      </c>
      <c r="H10" s="1">
        <v>2.0</v>
      </c>
      <c r="I10" s="1">
        <v>1.0</v>
      </c>
      <c r="J10" s="1">
        <v>1.0</v>
      </c>
      <c r="K10" s="1">
        <v>1.0</v>
      </c>
      <c r="L10" s="1">
        <v>1.0</v>
      </c>
      <c r="M10" s="1">
        <v>1.0</v>
      </c>
      <c r="N10" s="1">
        <v>1.0</v>
      </c>
      <c r="O10" s="1">
        <v>2.0</v>
      </c>
      <c r="P10" s="1"/>
      <c r="Q10" s="1">
        <v>2.0</v>
      </c>
      <c r="R10" s="1">
        <v>1.0</v>
      </c>
      <c r="S10" s="1">
        <v>1.0</v>
      </c>
      <c r="T10" s="1">
        <v>1.0</v>
      </c>
      <c r="U10" s="1">
        <v>1.0</v>
      </c>
      <c r="V10" s="1">
        <v>1.0</v>
      </c>
      <c r="W10" s="1"/>
      <c r="X10" s="1">
        <v>2.0</v>
      </c>
      <c r="Y10" s="1">
        <v>2.0</v>
      </c>
      <c r="Z10" s="1">
        <v>1.0</v>
      </c>
      <c r="AA10" s="1">
        <v>1.0</v>
      </c>
      <c r="AB10" s="1">
        <v>2.0</v>
      </c>
      <c r="AC10" s="1">
        <v>1.0</v>
      </c>
      <c r="AD10" s="1"/>
      <c r="AE10" s="1">
        <v>1.0</v>
      </c>
      <c r="AF10" s="1">
        <v>1.0</v>
      </c>
      <c r="AG10" s="1">
        <v>1.0</v>
      </c>
      <c r="AH10" s="1">
        <v>1.0</v>
      </c>
      <c r="AI10" s="1">
        <v>2.0</v>
      </c>
      <c r="AJ10" s="1"/>
      <c r="AK10" s="1">
        <v>2.0</v>
      </c>
      <c r="AL10" s="1">
        <v>1.0</v>
      </c>
      <c r="AM10" s="1"/>
      <c r="AN10" s="1">
        <v>2.0</v>
      </c>
      <c r="AO10" s="1">
        <v>1.0</v>
      </c>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2">
        <v>1.0</v>
      </c>
    </row>
    <row r="11">
      <c r="A11" s="2" t="s">
        <v>224</v>
      </c>
      <c r="B11" s="1">
        <v>1.0</v>
      </c>
      <c r="C11" s="1">
        <v>1.0</v>
      </c>
      <c r="D11" s="1">
        <v>1.0</v>
      </c>
      <c r="E11" s="1">
        <v>1.0</v>
      </c>
      <c r="F11" s="1"/>
      <c r="G11" s="1">
        <v>3.0</v>
      </c>
      <c r="H11" s="1">
        <v>1.0</v>
      </c>
      <c r="I11" s="1">
        <v>1.0</v>
      </c>
      <c r="J11" s="1">
        <v>3.0</v>
      </c>
      <c r="K11" s="1">
        <v>3.0</v>
      </c>
      <c r="L11" s="1">
        <v>1.0</v>
      </c>
      <c r="M11" s="1">
        <v>3.0</v>
      </c>
      <c r="N11" s="1">
        <v>3.0</v>
      </c>
      <c r="O11" s="1">
        <v>2.0</v>
      </c>
      <c r="P11" s="1"/>
      <c r="Q11" s="1">
        <v>3.0</v>
      </c>
      <c r="R11" s="1">
        <v>1.0</v>
      </c>
      <c r="S11" s="1">
        <v>3.0</v>
      </c>
      <c r="T11" s="1">
        <v>1.0</v>
      </c>
      <c r="U11" s="1">
        <v>1.0</v>
      </c>
      <c r="V11" s="1">
        <v>1.0</v>
      </c>
      <c r="W11" s="1"/>
      <c r="X11" s="1">
        <v>1.0</v>
      </c>
      <c r="Y11" s="1">
        <v>1.0</v>
      </c>
      <c r="Z11" s="1">
        <v>1.0</v>
      </c>
      <c r="AA11" s="1">
        <v>3.0</v>
      </c>
      <c r="AB11" s="1">
        <v>1.0</v>
      </c>
      <c r="AC11" s="1">
        <v>3.0</v>
      </c>
      <c r="AD11" s="1"/>
      <c r="AE11" s="1">
        <v>1.0</v>
      </c>
      <c r="AF11" s="1">
        <v>1.0</v>
      </c>
      <c r="AG11" s="1" t="s">
        <v>225</v>
      </c>
      <c r="AH11" s="1">
        <v>3.0</v>
      </c>
      <c r="AI11" s="1">
        <v>1.0</v>
      </c>
      <c r="AJ11" s="1"/>
      <c r="AK11" s="1">
        <v>3.0</v>
      </c>
      <c r="AL11" s="1">
        <v>1.0</v>
      </c>
      <c r="AM11" s="1"/>
      <c r="AN11" s="1">
        <v>3.0</v>
      </c>
      <c r="AO11" s="1">
        <v>1.0</v>
      </c>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2">
        <v>3.0</v>
      </c>
    </row>
    <row r="12">
      <c r="A12" s="1" t="s">
        <v>226</v>
      </c>
      <c r="B12" s="1">
        <v>2.0</v>
      </c>
      <c r="C12" s="1">
        <v>2.0</v>
      </c>
      <c r="D12" s="1">
        <v>1.0</v>
      </c>
      <c r="E12" s="1">
        <v>2.0</v>
      </c>
      <c r="F12" s="1"/>
      <c r="G12" s="1"/>
      <c r="H12" s="1">
        <v>2.0</v>
      </c>
      <c r="I12" s="1">
        <v>2.0</v>
      </c>
      <c r="J12" s="1">
        <v>2.0</v>
      </c>
      <c r="K12" s="1">
        <v>2.0</v>
      </c>
      <c r="L12" s="1">
        <v>2.0</v>
      </c>
      <c r="M12" s="1">
        <v>2.0</v>
      </c>
      <c r="N12" s="1">
        <v>2.0</v>
      </c>
      <c r="O12" s="1">
        <v>2.0</v>
      </c>
      <c r="P12" s="1"/>
      <c r="Q12" s="1">
        <v>2.0</v>
      </c>
      <c r="R12" s="1">
        <v>2.0</v>
      </c>
      <c r="S12" s="1">
        <v>2.0</v>
      </c>
      <c r="T12" s="1">
        <v>2.0</v>
      </c>
      <c r="U12" s="1">
        <v>2.0</v>
      </c>
      <c r="V12" s="1">
        <v>2.0</v>
      </c>
      <c r="W12" s="1"/>
      <c r="X12" s="1">
        <v>2.0</v>
      </c>
      <c r="Y12" s="1">
        <v>2.0</v>
      </c>
      <c r="Z12" s="1">
        <v>2.0</v>
      </c>
      <c r="AA12" s="1">
        <v>2.0</v>
      </c>
      <c r="AB12" s="1">
        <v>2.0</v>
      </c>
      <c r="AC12" s="1">
        <v>2.0</v>
      </c>
      <c r="AD12" s="1"/>
      <c r="AE12" s="1">
        <v>2.0</v>
      </c>
      <c r="AF12" s="1">
        <v>2.0</v>
      </c>
      <c r="AG12" s="1">
        <v>1.0</v>
      </c>
      <c r="AH12" s="1">
        <v>2.0</v>
      </c>
      <c r="AI12" s="1">
        <v>2.0</v>
      </c>
      <c r="AJ12" s="1"/>
      <c r="AK12" s="1">
        <v>2.0</v>
      </c>
      <c r="AL12" s="1">
        <v>2.0</v>
      </c>
      <c r="AM12" s="1"/>
      <c r="AN12" s="1">
        <v>2.0</v>
      </c>
      <c r="AO12" s="1">
        <v>2.0</v>
      </c>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2">
        <v>2.0</v>
      </c>
    </row>
    <row r="13">
      <c r="A13" s="5" t="s">
        <v>564</v>
      </c>
      <c r="B13" s="1">
        <v>3.0</v>
      </c>
      <c r="C13" s="1">
        <v>2.0</v>
      </c>
      <c r="D13" s="1"/>
      <c r="E13" s="1">
        <v>2.0</v>
      </c>
      <c r="F13" s="1"/>
      <c r="G13" s="1">
        <v>1.0</v>
      </c>
      <c r="H13" s="1">
        <v>2.0</v>
      </c>
      <c r="I13" s="1">
        <v>2.0</v>
      </c>
      <c r="J13" s="1">
        <v>1.0</v>
      </c>
      <c r="K13" s="10">
        <v>2.0</v>
      </c>
      <c r="L13" s="10">
        <v>2.0</v>
      </c>
      <c r="M13" s="10">
        <v>2.0</v>
      </c>
      <c r="N13" s="10">
        <v>2.0</v>
      </c>
      <c r="O13" s="1">
        <v>3.0</v>
      </c>
      <c r="P13" s="1"/>
      <c r="Q13" s="10">
        <v>2.0</v>
      </c>
      <c r="R13" s="1">
        <v>3.0</v>
      </c>
      <c r="S13" s="1">
        <v>3.0</v>
      </c>
      <c r="T13" s="1">
        <v>3.0</v>
      </c>
      <c r="U13" s="1">
        <v>1.0</v>
      </c>
      <c r="V13" s="1"/>
      <c r="W13" s="1"/>
      <c r="X13" s="1">
        <v>2.0</v>
      </c>
      <c r="Y13" s="1">
        <v>3.0</v>
      </c>
      <c r="Z13" s="1">
        <v>3.0</v>
      </c>
      <c r="AA13" s="1">
        <v>3.0</v>
      </c>
      <c r="AB13" s="1">
        <v>2.0</v>
      </c>
      <c r="AC13" s="1"/>
      <c r="AD13" s="1"/>
      <c r="AE13" s="1">
        <v>2.0</v>
      </c>
      <c r="AF13" s="1">
        <v>3.0</v>
      </c>
      <c r="AG13" s="1">
        <v>3.0</v>
      </c>
      <c r="AH13" s="1">
        <v>2.0</v>
      </c>
      <c r="AI13" s="1">
        <v>3.0</v>
      </c>
      <c r="AJ13" s="1"/>
      <c r="AK13" s="1">
        <v>2.0</v>
      </c>
      <c r="AL13" s="1">
        <v>2.0</v>
      </c>
      <c r="AM13" s="1"/>
      <c r="AN13" s="1">
        <v>2.0</v>
      </c>
      <c r="AO13" s="1">
        <v>2.0</v>
      </c>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2">
        <v>3.0</v>
      </c>
    </row>
    <row r="14">
      <c r="A14" s="5" t="s">
        <v>228</v>
      </c>
      <c r="B14" s="2">
        <v>7.0</v>
      </c>
      <c r="C14" s="2">
        <v>4.0</v>
      </c>
      <c r="D14" s="2">
        <v>1.0</v>
      </c>
      <c r="E14" s="2">
        <v>1.0</v>
      </c>
      <c r="G14" s="2">
        <v>6.0</v>
      </c>
      <c r="H14" s="2">
        <v>7.0</v>
      </c>
      <c r="I14" s="2">
        <v>6.0</v>
      </c>
      <c r="J14" s="2">
        <v>1.0</v>
      </c>
      <c r="K14" s="2">
        <v>3.0</v>
      </c>
      <c r="L14" s="2">
        <v>4.0</v>
      </c>
      <c r="M14" s="2">
        <v>4.0</v>
      </c>
      <c r="N14" s="2">
        <v>2.0</v>
      </c>
      <c r="O14" s="2">
        <v>4.0</v>
      </c>
      <c r="Q14" s="2">
        <v>1.0</v>
      </c>
      <c r="R14" s="2">
        <v>1.0</v>
      </c>
      <c r="S14" s="2">
        <v>2.0</v>
      </c>
      <c r="T14" s="2">
        <v>3.0</v>
      </c>
      <c r="U14" s="2">
        <v>2.0</v>
      </c>
      <c r="V14" s="2">
        <v>4.0</v>
      </c>
      <c r="X14" s="2">
        <v>0.0</v>
      </c>
      <c r="Y14" s="2">
        <v>1.0</v>
      </c>
      <c r="Z14" s="2">
        <v>7.0</v>
      </c>
      <c r="AA14" s="2">
        <v>7.0</v>
      </c>
      <c r="AB14" s="2">
        <v>1.0</v>
      </c>
      <c r="AC14" s="2">
        <v>7.0</v>
      </c>
      <c r="AE14" s="2">
        <v>3.0</v>
      </c>
      <c r="AF14" s="2">
        <v>5.0</v>
      </c>
      <c r="AG14" s="2">
        <v>2.0</v>
      </c>
      <c r="AH14" s="2">
        <v>2.0</v>
      </c>
      <c r="AI14" s="2">
        <v>2.0</v>
      </c>
      <c r="AK14" s="2">
        <v>7.0</v>
      </c>
      <c r="AL14" s="2">
        <v>3.0</v>
      </c>
      <c r="AN14" s="2">
        <v>2.0</v>
      </c>
      <c r="AO14" s="2">
        <v>0.0</v>
      </c>
      <c r="BQ14" s="2">
        <v>8.0</v>
      </c>
    </row>
    <row r="16">
      <c r="A16" s="4" t="s">
        <v>229</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row>
    <row r="17">
      <c r="A17" s="11" t="s">
        <v>230</v>
      </c>
      <c r="B17" s="1">
        <v>16.0</v>
      </c>
      <c r="C17" s="1">
        <v>16.0</v>
      </c>
      <c r="D17" s="1"/>
      <c r="E17" s="1">
        <v>5.0</v>
      </c>
      <c r="F17" s="1"/>
      <c r="G17" s="1">
        <v>7.0</v>
      </c>
      <c r="H17" s="1">
        <v>10.0</v>
      </c>
      <c r="I17" s="1">
        <v>8.0</v>
      </c>
      <c r="J17" s="1">
        <v>6.0</v>
      </c>
      <c r="K17" s="1">
        <v>15.0</v>
      </c>
      <c r="L17" s="1">
        <v>14.0</v>
      </c>
      <c r="M17" s="1">
        <v>10.0</v>
      </c>
      <c r="N17" s="1">
        <v>13.0</v>
      </c>
      <c r="O17" s="1">
        <v>16.0</v>
      </c>
      <c r="P17" s="1"/>
      <c r="Q17" s="1">
        <v>13.0</v>
      </c>
      <c r="R17" s="1">
        <v>5.0</v>
      </c>
      <c r="S17" s="1">
        <v>21.0</v>
      </c>
      <c r="T17" s="1">
        <v>9.0</v>
      </c>
      <c r="U17" s="1">
        <v>5.0</v>
      </c>
      <c r="V17" s="1"/>
      <c r="W17" s="1"/>
      <c r="X17" s="1">
        <v>15.0</v>
      </c>
      <c r="Y17" s="1">
        <v>22.0</v>
      </c>
      <c r="Z17" s="1">
        <v>15.0</v>
      </c>
      <c r="AA17" s="1">
        <v>12.0</v>
      </c>
      <c r="AB17" s="1">
        <v>10.0</v>
      </c>
      <c r="AC17" s="1">
        <v>5.0</v>
      </c>
      <c r="AD17" s="1"/>
      <c r="AE17" s="1">
        <v>20.0</v>
      </c>
      <c r="AF17" s="1">
        <v>9.0</v>
      </c>
      <c r="AG17" s="1">
        <v>24.0</v>
      </c>
      <c r="AH17" s="1">
        <v>12.0</v>
      </c>
      <c r="AI17" s="1">
        <v>4.0</v>
      </c>
      <c r="AJ17" s="1"/>
      <c r="AK17" s="1">
        <v>22.0</v>
      </c>
      <c r="AL17" s="1">
        <v>20.0</v>
      </c>
      <c r="AM17" s="1"/>
      <c r="AN17" s="1">
        <v>14.0</v>
      </c>
      <c r="AO17" s="2">
        <v>15.0</v>
      </c>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2">
        <v>12.0</v>
      </c>
    </row>
    <row r="18">
      <c r="A18" s="11" t="s">
        <v>231</v>
      </c>
      <c r="B18" s="1">
        <v>51.0</v>
      </c>
      <c r="C18" s="1">
        <v>57.0</v>
      </c>
      <c r="D18" s="1"/>
      <c r="E18" s="1">
        <v>51.0</v>
      </c>
      <c r="F18" s="1"/>
      <c r="G18" s="1">
        <v>36.0</v>
      </c>
      <c r="H18" s="1">
        <v>52.0</v>
      </c>
      <c r="I18" s="1">
        <v>54.0</v>
      </c>
      <c r="J18" s="1">
        <v>32.0</v>
      </c>
      <c r="K18" s="1">
        <v>45.0</v>
      </c>
      <c r="L18" s="1">
        <v>68.0</v>
      </c>
      <c r="M18" s="1">
        <v>37.0</v>
      </c>
      <c r="N18" s="1">
        <v>35.0</v>
      </c>
      <c r="O18" s="1">
        <v>56.0</v>
      </c>
      <c r="P18" s="1"/>
      <c r="Q18" s="1">
        <v>77.0</v>
      </c>
      <c r="R18" s="1">
        <v>86.0</v>
      </c>
      <c r="S18" s="1">
        <v>60.0</v>
      </c>
      <c r="T18" s="1">
        <v>50.0</v>
      </c>
      <c r="U18" s="1">
        <v>24.0</v>
      </c>
      <c r="V18" s="1"/>
      <c r="W18" s="1"/>
      <c r="X18" s="1">
        <v>44.0</v>
      </c>
      <c r="Y18" s="1">
        <v>48.0</v>
      </c>
      <c r="Z18" s="1">
        <v>50.0</v>
      </c>
      <c r="AA18" s="1">
        <v>60.0</v>
      </c>
      <c r="AB18" s="1">
        <v>48.0</v>
      </c>
      <c r="AC18" s="1">
        <v>44.0</v>
      </c>
      <c r="AD18" s="1"/>
      <c r="AE18" s="1">
        <v>55.0</v>
      </c>
      <c r="AF18" s="1">
        <v>40.0</v>
      </c>
      <c r="AG18" s="1">
        <v>45.0</v>
      </c>
      <c r="AH18" s="1">
        <v>69.0</v>
      </c>
      <c r="AI18" s="1">
        <v>62.0</v>
      </c>
      <c r="AJ18" s="1"/>
      <c r="AK18" s="1">
        <v>68.0</v>
      </c>
      <c r="AL18" s="1">
        <v>63.0</v>
      </c>
      <c r="AM18" s="1"/>
      <c r="AN18" s="1">
        <v>65.0</v>
      </c>
      <c r="AO18" s="1">
        <v>53.0</v>
      </c>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2">
        <v>49.0</v>
      </c>
    </row>
    <row r="19">
      <c r="A19" s="11" t="s">
        <v>233</v>
      </c>
      <c r="B19" s="1">
        <v>16.0</v>
      </c>
      <c r="C19" s="1">
        <v>15.0</v>
      </c>
      <c r="D19" s="1"/>
      <c r="E19" s="1">
        <v>3.0</v>
      </c>
      <c r="F19" s="1"/>
      <c r="G19" s="1">
        <v>15.0</v>
      </c>
      <c r="H19" s="1">
        <v>10.0</v>
      </c>
      <c r="I19" s="1">
        <v>8.0</v>
      </c>
      <c r="J19" s="1">
        <v>5.0</v>
      </c>
      <c r="K19" s="1">
        <v>15.0</v>
      </c>
      <c r="L19" s="1">
        <v>14.0</v>
      </c>
      <c r="M19" s="1">
        <v>10.0</v>
      </c>
      <c r="N19" s="1">
        <v>13.0</v>
      </c>
      <c r="O19" s="1">
        <v>10.0</v>
      </c>
      <c r="P19" s="1"/>
      <c r="Q19" s="1">
        <v>14.0</v>
      </c>
      <c r="R19" s="1">
        <v>13.0</v>
      </c>
      <c r="S19" s="1">
        <v>21.0</v>
      </c>
      <c r="T19" s="1">
        <v>7.0</v>
      </c>
      <c r="U19" s="1">
        <v>7.0</v>
      </c>
      <c r="V19" s="1"/>
      <c r="W19" s="1"/>
      <c r="X19" s="1">
        <v>20.0</v>
      </c>
      <c r="Y19" s="1">
        <v>20.0</v>
      </c>
      <c r="Z19" s="1">
        <v>12.0</v>
      </c>
      <c r="AA19" s="1">
        <v>13.0</v>
      </c>
      <c r="AB19" s="1">
        <v>13.0</v>
      </c>
      <c r="AC19" s="1">
        <v>5.0</v>
      </c>
      <c r="AD19" s="1"/>
      <c r="AE19" s="1">
        <v>21.0</v>
      </c>
      <c r="AF19" s="1">
        <v>11.0</v>
      </c>
      <c r="AG19" s="1">
        <v>27.0</v>
      </c>
      <c r="AH19" s="1">
        <v>11.0</v>
      </c>
      <c r="AI19" s="1">
        <v>7.0</v>
      </c>
      <c r="AJ19" s="1"/>
      <c r="AK19" s="1">
        <v>20.0</v>
      </c>
      <c r="AL19" s="1">
        <v>26.0</v>
      </c>
      <c r="AM19" s="1"/>
      <c r="AN19" s="1">
        <v>11.0</v>
      </c>
      <c r="AO19" s="1">
        <v>11.0</v>
      </c>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2">
        <v>12.0</v>
      </c>
    </row>
    <row r="20">
      <c r="A20" s="11" t="s">
        <v>234</v>
      </c>
      <c r="B20" s="1">
        <v>51.0</v>
      </c>
      <c r="C20" s="1">
        <v>57.0</v>
      </c>
      <c r="D20" s="1"/>
      <c r="E20" s="1">
        <v>53.0</v>
      </c>
      <c r="F20" s="1"/>
      <c r="G20" s="1">
        <v>36.0</v>
      </c>
      <c r="H20" s="1">
        <v>52.0</v>
      </c>
      <c r="I20" s="1">
        <v>54.0</v>
      </c>
      <c r="J20" s="1">
        <v>32.0</v>
      </c>
      <c r="K20" s="1">
        <v>50.0</v>
      </c>
      <c r="L20" s="1">
        <v>68.0</v>
      </c>
      <c r="M20" s="1">
        <v>41.0</v>
      </c>
      <c r="N20" s="1">
        <v>35.0</v>
      </c>
      <c r="O20" s="1">
        <v>54.0</v>
      </c>
      <c r="P20" s="1"/>
      <c r="Q20" s="1">
        <v>78.0</v>
      </c>
      <c r="R20" s="1">
        <v>85.0</v>
      </c>
      <c r="S20" s="1">
        <v>60.0</v>
      </c>
      <c r="T20" s="1">
        <v>55.0</v>
      </c>
      <c r="U20" s="1">
        <v>24.0</v>
      </c>
      <c r="V20" s="1"/>
      <c r="W20" s="1"/>
      <c r="X20" s="1">
        <v>50.0</v>
      </c>
      <c r="Y20" s="1">
        <v>48.0</v>
      </c>
      <c r="Z20" s="1">
        <v>45.0</v>
      </c>
      <c r="AA20" s="1">
        <v>64.0</v>
      </c>
      <c r="AB20" s="1">
        <v>49.0</v>
      </c>
      <c r="AC20" s="1">
        <v>42.0</v>
      </c>
      <c r="AD20" s="1"/>
      <c r="AE20" s="1">
        <v>56.0</v>
      </c>
      <c r="AF20" s="1">
        <v>38.0</v>
      </c>
      <c r="AG20" s="1">
        <v>47.0</v>
      </c>
      <c r="AH20" s="1">
        <v>51.0</v>
      </c>
      <c r="AI20" s="1">
        <v>63.0</v>
      </c>
      <c r="AJ20" s="1"/>
      <c r="AK20" s="1">
        <v>68.0</v>
      </c>
      <c r="AL20" s="1">
        <v>64.0</v>
      </c>
      <c r="AM20" s="1"/>
      <c r="AN20" s="1">
        <v>65.0</v>
      </c>
      <c r="AO20" s="1">
        <v>53.0</v>
      </c>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2">
        <v>54.0</v>
      </c>
    </row>
    <row r="21" ht="15.75" customHeight="1">
      <c r="A21" s="11" t="s">
        <v>235</v>
      </c>
      <c r="B21" s="1">
        <v>27.0</v>
      </c>
      <c r="C21" s="1">
        <v>33.0</v>
      </c>
      <c r="D21" s="1"/>
      <c r="E21" s="1">
        <v>21.0</v>
      </c>
      <c r="F21" s="1"/>
      <c r="G21" s="1">
        <v>20.0</v>
      </c>
      <c r="H21" s="1">
        <v>38.0</v>
      </c>
      <c r="I21" s="1">
        <v>28.0</v>
      </c>
      <c r="J21" s="1">
        <v>19.0</v>
      </c>
      <c r="K21" s="1">
        <v>25.0</v>
      </c>
      <c r="L21" s="1">
        <v>42.0</v>
      </c>
      <c r="M21" s="1">
        <v>20.0</v>
      </c>
      <c r="N21" s="1">
        <v>20.0</v>
      </c>
      <c r="O21" s="1">
        <v>22.0</v>
      </c>
      <c r="P21" s="1"/>
      <c r="Q21" s="1">
        <v>36.0</v>
      </c>
      <c r="R21" s="1">
        <v>50.0</v>
      </c>
      <c r="S21" s="1">
        <v>28.0</v>
      </c>
      <c r="T21" s="1">
        <v>20.0</v>
      </c>
      <c r="U21" s="1">
        <v>13.0</v>
      </c>
      <c r="V21" s="1"/>
      <c r="W21" s="1"/>
      <c r="X21" s="1">
        <v>21.0</v>
      </c>
      <c r="Y21" s="1">
        <v>20.0</v>
      </c>
      <c r="Z21" s="1">
        <v>30.0</v>
      </c>
      <c r="AA21" s="1">
        <v>31.0</v>
      </c>
      <c r="AB21" s="1">
        <v>21.0</v>
      </c>
      <c r="AC21" s="1">
        <v>15.0</v>
      </c>
      <c r="AD21" s="1"/>
      <c r="AE21" s="1">
        <v>32.0</v>
      </c>
      <c r="AF21" s="1">
        <v>25.0</v>
      </c>
      <c r="AG21" s="1">
        <v>30.0</v>
      </c>
      <c r="AH21" s="1">
        <v>15.0</v>
      </c>
      <c r="AI21" s="1">
        <v>29.0</v>
      </c>
      <c r="AJ21" s="1"/>
      <c r="AK21" s="1">
        <v>39.0</v>
      </c>
      <c r="AL21" s="1">
        <v>33.0</v>
      </c>
      <c r="AM21" s="1"/>
      <c r="AN21" s="1">
        <v>39.0</v>
      </c>
      <c r="AO21" s="1">
        <v>31.0</v>
      </c>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2">
        <v>30.0</v>
      </c>
    </row>
    <row r="22" ht="15.75" customHeight="1">
      <c r="A22" s="3" t="s">
        <v>236</v>
      </c>
      <c r="B22" s="2">
        <v>35.0</v>
      </c>
      <c r="C22" s="2">
        <v>43.0</v>
      </c>
      <c r="E22" s="2">
        <v>34.0</v>
      </c>
      <c r="G22" s="2">
        <v>26.0</v>
      </c>
      <c r="H22" s="2">
        <v>42.0</v>
      </c>
      <c r="I22" s="2">
        <v>36.0</v>
      </c>
      <c r="J22" s="2">
        <v>23.0</v>
      </c>
      <c r="K22" s="2">
        <v>39.0</v>
      </c>
      <c r="L22" s="2">
        <v>50.0</v>
      </c>
      <c r="M22" s="2">
        <v>27.0</v>
      </c>
      <c r="N22" s="2">
        <v>26.0</v>
      </c>
      <c r="O22" s="2">
        <v>37.0</v>
      </c>
      <c r="Q22" s="2">
        <v>50.0</v>
      </c>
      <c r="R22" s="2">
        <v>62.0</v>
      </c>
      <c r="S22" s="2">
        <v>38.0</v>
      </c>
      <c r="T22" s="2">
        <v>35.0</v>
      </c>
      <c r="U22" s="2">
        <v>17.0</v>
      </c>
      <c r="X22" s="2">
        <v>31.0</v>
      </c>
      <c r="Y22" s="2">
        <v>30.0</v>
      </c>
      <c r="Z22" s="2">
        <v>35.0</v>
      </c>
      <c r="AA22" s="2">
        <v>42.0</v>
      </c>
      <c r="AB22" s="2">
        <v>29.0</v>
      </c>
      <c r="AC22" s="2">
        <v>22.0</v>
      </c>
      <c r="AE22" s="2">
        <v>40.0</v>
      </c>
      <c r="AF22" s="2">
        <v>29.0</v>
      </c>
      <c r="AG22" s="2">
        <v>36.0</v>
      </c>
      <c r="AH22" s="2">
        <v>26.0</v>
      </c>
      <c r="AI22" s="2">
        <v>37.0</v>
      </c>
      <c r="AK22" s="2">
        <v>50.0</v>
      </c>
      <c r="AL22" s="2">
        <v>47.0</v>
      </c>
      <c r="AN22" s="2">
        <v>48.0</v>
      </c>
      <c r="AO22" s="2">
        <v>39.0</v>
      </c>
      <c r="BQ22" s="2">
        <v>38.0</v>
      </c>
    </row>
    <row r="23" ht="15.75" customHeight="1">
      <c r="A23" s="11" t="s">
        <v>237</v>
      </c>
      <c r="B23" s="1">
        <v>22.0</v>
      </c>
      <c r="C23" s="1">
        <v>33.0</v>
      </c>
      <c r="D23" s="1"/>
      <c r="E23" s="1">
        <v>22.0</v>
      </c>
      <c r="F23" s="1"/>
      <c r="G23" s="1">
        <v>20.0</v>
      </c>
      <c r="H23" s="1">
        <v>38.0</v>
      </c>
      <c r="I23" s="1">
        <v>26.0</v>
      </c>
      <c r="J23" s="1">
        <v>16.0</v>
      </c>
      <c r="K23" s="1">
        <v>28.0</v>
      </c>
      <c r="L23" s="1">
        <v>38.0</v>
      </c>
      <c r="M23" s="1">
        <v>22.0</v>
      </c>
      <c r="N23" s="1">
        <v>19.0</v>
      </c>
      <c r="O23" s="1">
        <v>26.0</v>
      </c>
      <c r="P23" s="1"/>
      <c r="Q23" s="1">
        <v>29.0</v>
      </c>
      <c r="R23" s="1">
        <v>50.0</v>
      </c>
      <c r="S23" s="1">
        <v>28.0</v>
      </c>
      <c r="T23" s="1">
        <v>24.0</v>
      </c>
      <c r="U23" s="1">
        <v>11.0</v>
      </c>
      <c r="V23" s="1"/>
      <c r="W23" s="1"/>
      <c r="X23" s="1">
        <v>22.0</v>
      </c>
      <c r="Y23" s="1">
        <v>25.0</v>
      </c>
      <c r="Z23" s="1">
        <v>27.0</v>
      </c>
      <c r="AA23" s="1">
        <v>30.0</v>
      </c>
      <c r="AB23" s="1">
        <v>21.0</v>
      </c>
      <c r="AC23" s="1">
        <v>14.0</v>
      </c>
      <c r="AD23" s="1"/>
      <c r="AE23" s="1">
        <v>30.0</v>
      </c>
      <c r="AF23" s="1">
        <v>27.0</v>
      </c>
      <c r="AG23" s="1">
        <v>32.0</v>
      </c>
      <c r="AH23" s="1">
        <v>19.0</v>
      </c>
      <c r="AI23" s="1">
        <v>40.0</v>
      </c>
      <c r="AJ23" s="1"/>
      <c r="AK23" s="1">
        <v>39.0</v>
      </c>
      <c r="AL23" s="1">
        <v>29.0</v>
      </c>
      <c r="AM23" s="1"/>
      <c r="AN23" s="1">
        <v>30.0</v>
      </c>
      <c r="AO23" s="1">
        <v>23.0</v>
      </c>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2">
        <v>27.0</v>
      </c>
    </row>
    <row r="24" ht="15.75" customHeight="1">
      <c r="A24" s="3" t="s">
        <v>238</v>
      </c>
      <c r="B24" s="2">
        <f t="shared" ref="B24:BQ24" si="1">(B22-B23)/B29</f>
        <v>2.131147541</v>
      </c>
      <c r="C24" s="2">
        <f t="shared" si="1"/>
        <v>3.03030303</v>
      </c>
      <c r="D24" s="2" t="str">
        <f t="shared" si="1"/>
        <v>#DIV/0!</v>
      </c>
      <c r="E24" s="2">
        <f t="shared" si="1"/>
        <v>3.022670025</v>
      </c>
      <c r="F24" s="2" t="str">
        <f t="shared" si="1"/>
        <v>#DIV/0!</v>
      </c>
      <c r="G24" s="2">
        <f t="shared" si="1"/>
        <v>1.699716714</v>
      </c>
      <c r="H24" s="2">
        <f t="shared" si="1"/>
        <v>1.111111111</v>
      </c>
      <c r="I24" s="2">
        <f t="shared" si="1"/>
        <v>3.571428571</v>
      </c>
      <c r="J24" s="2">
        <f t="shared" si="1"/>
        <v>1.627906977</v>
      </c>
      <c r="K24" s="2">
        <f t="shared" si="1"/>
        <v>2.444444444</v>
      </c>
      <c r="L24" s="2">
        <f t="shared" si="1"/>
        <v>2.836879433</v>
      </c>
      <c r="M24" s="2">
        <f t="shared" si="1"/>
        <v>1.291989664</v>
      </c>
      <c r="N24" s="2">
        <f t="shared" si="1"/>
        <v>2.040816327</v>
      </c>
      <c r="O24" s="2">
        <f t="shared" si="1"/>
        <v>4.680851064</v>
      </c>
      <c r="P24" s="2" t="str">
        <f t="shared" si="1"/>
        <v>#DIV/0!</v>
      </c>
      <c r="Q24" s="2">
        <f t="shared" si="1"/>
        <v>7.24137931</v>
      </c>
      <c r="R24" s="2">
        <f t="shared" si="1"/>
        <v>2.076124567</v>
      </c>
      <c r="S24" s="2">
        <f t="shared" si="1"/>
        <v>2.43902439</v>
      </c>
      <c r="T24" s="2">
        <f t="shared" si="1"/>
        <v>2.702702703</v>
      </c>
      <c r="U24" s="2">
        <f t="shared" si="1"/>
        <v>1.729106628</v>
      </c>
      <c r="V24" s="2" t="str">
        <f t="shared" si="1"/>
        <v>#DIV/0!</v>
      </c>
      <c r="W24" s="2" t="str">
        <f t="shared" si="1"/>
        <v>#DIV/0!</v>
      </c>
      <c r="X24" s="2">
        <f t="shared" si="1"/>
        <v>2.013422819</v>
      </c>
      <c r="Y24" s="2">
        <f t="shared" si="1"/>
        <v>1.742160279</v>
      </c>
      <c r="Z24" s="2">
        <f t="shared" si="1"/>
        <v>2.247191011</v>
      </c>
      <c r="AA24" s="2">
        <f t="shared" si="1"/>
        <v>2.068965517</v>
      </c>
      <c r="AB24" s="2">
        <f t="shared" si="1"/>
        <v>2.44648318</v>
      </c>
      <c r="AC24" s="2">
        <f t="shared" si="1"/>
        <v>1.70212766</v>
      </c>
      <c r="AD24" s="2" t="str">
        <f t="shared" si="1"/>
        <v>#DIV/0!</v>
      </c>
      <c r="AE24" s="2">
        <f t="shared" si="1"/>
        <v>2.188183807</v>
      </c>
      <c r="AF24" s="2">
        <f t="shared" si="1"/>
        <v>0.4319654428</v>
      </c>
      <c r="AG24" s="2">
        <f t="shared" si="1"/>
        <v>1.428571429</v>
      </c>
      <c r="AH24" s="2">
        <f t="shared" si="1"/>
        <v>2.564102564</v>
      </c>
      <c r="AI24" s="2">
        <f t="shared" si="1"/>
        <v>-0.7894736842</v>
      </c>
      <c r="AJ24" s="2" t="str">
        <f t="shared" si="1"/>
        <v>#DIV/0!</v>
      </c>
      <c r="AK24" s="2">
        <f t="shared" si="1"/>
        <v>3.03030303</v>
      </c>
      <c r="AL24" s="2">
        <f t="shared" si="1"/>
        <v>9.473684211</v>
      </c>
      <c r="AM24" s="2" t="str">
        <f t="shared" si="1"/>
        <v>#DIV/0!</v>
      </c>
      <c r="AN24" s="2">
        <f t="shared" si="1"/>
        <v>4.615384615</v>
      </c>
      <c r="AO24" s="2">
        <f t="shared" si="1"/>
        <v>9.039548023</v>
      </c>
      <c r="AP24" s="2" t="str">
        <f t="shared" si="1"/>
        <v>#DIV/0!</v>
      </c>
      <c r="AQ24" s="2" t="str">
        <f t="shared" si="1"/>
        <v>#DIV/0!</v>
      </c>
      <c r="AR24" s="2" t="str">
        <f t="shared" si="1"/>
        <v>#DIV/0!</v>
      </c>
      <c r="AS24" s="2" t="str">
        <f t="shared" si="1"/>
        <v>#DIV/0!</v>
      </c>
      <c r="AT24" s="2" t="str">
        <f t="shared" si="1"/>
        <v>#DIV/0!</v>
      </c>
      <c r="AU24" s="2" t="str">
        <f t="shared" si="1"/>
        <v>#DIV/0!</v>
      </c>
      <c r="AV24" s="2" t="str">
        <f t="shared" si="1"/>
        <v>#DIV/0!</v>
      </c>
      <c r="AW24" s="2" t="str">
        <f t="shared" si="1"/>
        <v>#DIV/0!</v>
      </c>
      <c r="AX24" s="2" t="str">
        <f t="shared" si="1"/>
        <v>#DIV/0!</v>
      </c>
      <c r="AY24" s="2" t="str">
        <f t="shared" si="1"/>
        <v>#DIV/0!</v>
      </c>
      <c r="AZ24" s="2" t="str">
        <f t="shared" si="1"/>
        <v>#DIV/0!</v>
      </c>
      <c r="BA24" s="2" t="str">
        <f t="shared" si="1"/>
        <v>#DIV/0!</v>
      </c>
      <c r="BB24" s="2" t="str">
        <f t="shared" si="1"/>
        <v>#DIV/0!</v>
      </c>
      <c r="BC24" s="2" t="str">
        <f t="shared" si="1"/>
        <v>#DIV/0!</v>
      </c>
      <c r="BD24" s="2" t="str">
        <f t="shared" si="1"/>
        <v>#DIV/0!</v>
      </c>
      <c r="BE24" s="2" t="str">
        <f t="shared" si="1"/>
        <v>#DIV/0!</v>
      </c>
      <c r="BF24" s="2" t="str">
        <f t="shared" si="1"/>
        <v>#DIV/0!</v>
      </c>
      <c r="BG24" s="2" t="str">
        <f t="shared" si="1"/>
        <v>#DIV/0!</v>
      </c>
      <c r="BH24" s="2" t="str">
        <f t="shared" si="1"/>
        <v>#DIV/0!</v>
      </c>
      <c r="BI24" s="2" t="str">
        <f t="shared" si="1"/>
        <v>#DIV/0!</v>
      </c>
      <c r="BJ24" s="2" t="str">
        <f t="shared" si="1"/>
        <v>#DIV/0!</v>
      </c>
      <c r="BK24" s="2" t="str">
        <f t="shared" si="1"/>
        <v>#DIV/0!</v>
      </c>
      <c r="BL24" s="2" t="str">
        <f t="shared" si="1"/>
        <v>#DIV/0!</v>
      </c>
      <c r="BM24" s="2" t="str">
        <f t="shared" si="1"/>
        <v>#DIV/0!</v>
      </c>
      <c r="BN24" s="2" t="str">
        <f t="shared" si="1"/>
        <v>#DIV/0!</v>
      </c>
      <c r="BO24" s="2" t="str">
        <f t="shared" si="1"/>
        <v>#DIV/0!</v>
      </c>
      <c r="BP24" s="2" t="str">
        <f t="shared" si="1"/>
        <v>#DIV/0!</v>
      </c>
      <c r="BQ24" s="2">
        <f t="shared" si="1"/>
        <v>2.75</v>
      </c>
    </row>
    <row r="25" ht="15.75" customHeight="1">
      <c r="A25" s="11" t="s">
        <v>239</v>
      </c>
      <c r="B25" s="1">
        <v>111.0</v>
      </c>
      <c r="C25" s="1">
        <v>97.0</v>
      </c>
      <c r="D25" s="1"/>
      <c r="E25" s="1">
        <v>110.0</v>
      </c>
      <c r="F25" s="1"/>
      <c r="G25" s="1">
        <v>97.0</v>
      </c>
      <c r="H25" s="1">
        <v>90.0</v>
      </c>
      <c r="I25" s="1">
        <v>103.0</v>
      </c>
      <c r="J25" s="1">
        <v>110.0</v>
      </c>
      <c r="K25" s="1">
        <v>90.0</v>
      </c>
      <c r="L25" s="1">
        <v>157.0</v>
      </c>
      <c r="M25" s="1">
        <v>119.0</v>
      </c>
      <c r="N25" s="1">
        <v>86.0</v>
      </c>
      <c r="O25" s="1">
        <v>118.0</v>
      </c>
      <c r="P25" s="1"/>
      <c r="Q25" s="1">
        <v>101.0</v>
      </c>
      <c r="R25" s="1">
        <v>136.0</v>
      </c>
      <c r="S25" s="1">
        <v>115.0</v>
      </c>
      <c r="T25" s="1">
        <v>169.0</v>
      </c>
      <c r="U25" s="1">
        <v>111.0</v>
      </c>
      <c r="V25" s="1"/>
      <c r="W25" s="1"/>
      <c r="X25" s="1">
        <v>106.0</v>
      </c>
      <c r="Y25" s="1">
        <v>109.0</v>
      </c>
      <c r="Z25" s="1">
        <v>121.0</v>
      </c>
      <c r="AA25" s="1">
        <v>124.0</v>
      </c>
      <c r="AB25" s="1">
        <v>115.0</v>
      </c>
      <c r="AC25" s="1">
        <v>123.0</v>
      </c>
      <c r="AD25" s="1"/>
      <c r="AE25" s="1">
        <v>109.0</v>
      </c>
      <c r="AF25" s="1">
        <v>93.0</v>
      </c>
      <c r="AG25" s="1">
        <v>94.0</v>
      </c>
      <c r="AH25" s="1">
        <v>136.0</v>
      </c>
      <c r="AI25" s="1">
        <v>94.0</v>
      </c>
      <c r="AJ25" s="1"/>
      <c r="AK25" s="1">
        <v>109.0</v>
      </c>
      <c r="AL25" s="1">
        <v>114.0</v>
      </c>
      <c r="AM25" s="1"/>
      <c r="AN25" s="1">
        <v>127.0</v>
      </c>
      <c r="AO25" s="1">
        <v>88.0</v>
      </c>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2">
        <v>112.0</v>
      </c>
    </row>
    <row r="26" ht="15.75" customHeight="1">
      <c r="A26" s="11" t="s">
        <v>240</v>
      </c>
      <c r="B26" s="1">
        <v>65.0</v>
      </c>
      <c r="C26" s="1">
        <v>76.0</v>
      </c>
      <c r="D26" s="1"/>
      <c r="E26" s="1">
        <v>72.0</v>
      </c>
      <c r="F26" s="1"/>
      <c r="G26" s="1">
        <v>68.0</v>
      </c>
      <c r="H26" s="1">
        <v>59.0</v>
      </c>
      <c r="I26" s="1">
        <v>59.0</v>
      </c>
      <c r="J26" s="1">
        <v>70.0</v>
      </c>
      <c r="K26" s="1">
        <v>56.0</v>
      </c>
      <c r="L26" s="1">
        <v>104.0</v>
      </c>
      <c r="M26" s="1">
        <v>75.0</v>
      </c>
      <c r="N26" s="1">
        <v>48.0</v>
      </c>
      <c r="O26" s="1">
        <v>58.0</v>
      </c>
      <c r="P26" s="1"/>
      <c r="Q26" s="1">
        <v>67.0</v>
      </c>
      <c r="R26" s="1">
        <v>75.0</v>
      </c>
      <c r="S26" s="1">
        <v>77.0</v>
      </c>
      <c r="T26" s="1">
        <v>79.0</v>
      </c>
      <c r="U26" s="1">
        <v>74.0</v>
      </c>
      <c r="V26" s="1"/>
      <c r="W26" s="1"/>
      <c r="X26" s="1">
        <v>69.0</v>
      </c>
      <c r="Y26" s="1">
        <v>59.0</v>
      </c>
      <c r="Z26" s="1">
        <v>87.0</v>
      </c>
      <c r="AA26" s="1">
        <v>65.0</v>
      </c>
      <c r="AB26" s="1">
        <v>57.0</v>
      </c>
      <c r="AC26" s="1">
        <v>51.0</v>
      </c>
      <c r="AD26" s="1"/>
      <c r="AE26" s="1">
        <v>69.0</v>
      </c>
      <c r="AF26" s="1">
        <v>62.0</v>
      </c>
      <c r="AG26" s="1">
        <v>65.0</v>
      </c>
      <c r="AH26" s="1">
        <v>61.0</v>
      </c>
      <c r="AI26" s="1">
        <v>66.0</v>
      </c>
      <c r="AJ26" s="1"/>
      <c r="AK26" s="1">
        <v>58.0</v>
      </c>
      <c r="AL26" s="1">
        <v>82.0</v>
      </c>
      <c r="AM26" s="1"/>
      <c r="AN26" s="1">
        <v>60.0</v>
      </c>
      <c r="AO26" s="1">
        <v>70.0</v>
      </c>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2">
        <v>60.0</v>
      </c>
    </row>
    <row r="27" ht="15.75" customHeight="1">
      <c r="A27" s="3" t="s">
        <v>241</v>
      </c>
      <c r="B27" s="1">
        <f t="shared" ref="B27:BQ27" si="2">((2/3)*B26+(1/3)*B25)</f>
        <v>80.33333333</v>
      </c>
      <c r="C27" s="1">
        <f t="shared" si="2"/>
        <v>83</v>
      </c>
      <c r="D27" s="1">
        <f t="shared" si="2"/>
        <v>0</v>
      </c>
      <c r="E27" s="1">
        <f t="shared" si="2"/>
        <v>84.66666667</v>
      </c>
      <c r="F27" s="1">
        <f t="shared" si="2"/>
        <v>0</v>
      </c>
      <c r="G27" s="1">
        <f t="shared" si="2"/>
        <v>77.66666667</v>
      </c>
      <c r="H27" s="1">
        <f t="shared" si="2"/>
        <v>69.33333333</v>
      </c>
      <c r="I27" s="1">
        <f t="shared" si="2"/>
        <v>73.66666667</v>
      </c>
      <c r="J27" s="1">
        <f t="shared" si="2"/>
        <v>83.33333333</v>
      </c>
      <c r="K27" s="1">
        <f t="shared" si="2"/>
        <v>67.33333333</v>
      </c>
      <c r="L27" s="1">
        <f t="shared" si="2"/>
        <v>121.6666667</v>
      </c>
      <c r="M27" s="1">
        <f t="shared" si="2"/>
        <v>89.66666667</v>
      </c>
      <c r="N27" s="1">
        <f t="shared" si="2"/>
        <v>60.66666667</v>
      </c>
      <c r="O27" s="1">
        <f t="shared" si="2"/>
        <v>78</v>
      </c>
      <c r="P27" s="1">
        <f t="shared" si="2"/>
        <v>0</v>
      </c>
      <c r="Q27" s="1">
        <f t="shared" si="2"/>
        <v>78.33333333</v>
      </c>
      <c r="R27" s="1">
        <f t="shared" si="2"/>
        <v>95.33333333</v>
      </c>
      <c r="S27" s="1">
        <f t="shared" si="2"/>
        <v>89.66666667</v>
      </c>
      <c r="T27" s="1">
        <f t="shared" si="2"/>
        <v>109</v>
      </c>
      <c r="U27" s="1">
        <f t="shared" si="2"/>
        <v>86.33333333</v>
      </c>
      <c r="V27" s="1">
        <f t="shared" si="2"/>
        <v>0</v>
      </c>
      <c r="W27" s="1">
        <f t="shared" si="2"/>
        <v>0</v>
      </c>
      <c r="X27" s="1">
        <f t="shared" si="2"/>
        <v>81.33333333</v>
      </c>
      <c r="Y27" s="1">
        <f t="shared" si="2"/>
        <v>75.66666667</v>
      </c>
      <c r="Z27" s="1">
        <f t="shared" si="2"/>
        <v>98.33333333</v>
      </c>
      <c r="AA27" s="1">
        <f t="shared" si="2"/>
        <v>84.66666667</v>
      </c>
      <c r="AB27" s="1">
        <f t="shared" si="2"/>
        <v>76.33333333</v>
      </c>
      <c r="AC27" s="1">
        <f t="shared" si="2"/>
        <v>75</v>
      </c>
      <c r="AD27" s="1">
        <f t="shared" si="2"/>
        <v>0</v>
      </c>
      <c r="AE27" s="1">
        <f t="shared" si="2"/>
        <v>82.33333333</v>
      </c>
      <c r="AF27" s="1">
        <f t="shared" si="2"/>
        <v>72.33333333</v>
      </c>
      <c r="AG27" s="1">
        <f t="shared" si="2"/>
        <v>74.66666667</v>
      </c>
      <c r="AH27" s="1">
        <f t="shared" si="2"/>
        <v>86</v>
      </c>
      <c r="AI27" s="1">
        <f t="shared" si="2"/>
        <v>75.33333333</v>
      </c>
      <c r="AJ27" s="1">
        <f t="shared" si="2"/>
        <v>0</v>
      </c>
      <c r="AK27" s="1">
        <f t="shared" si="2"/>
        <v>75</v>
      </c>
      <c r="AL27" s="1">
        <f t="shared" si="2"/>
        <v>92.66666667</v>
      </c>
      <c r="AM27" s="1">
        <f t="shared" si="2"/>
        <v>0</v>
      </c>
      <c r="AN27" s="1">
        <f t="shared" si="2"/>
        <v>82.33333333</v>
      </c>
      <c r="AO27" s="1">
        <f t="shared" si="2"/>
        <v>76</v>
      </c>
      <c r="AP27" s="1">
        <f t="shared" si="2"/>
        <v>0</v>
      </c>
      <c r="AQ27" s="1">
        <f t="shared" si="2"/>
        <v>0</v>
      </c>
      <c r="AR27" s="1">
        <f t="shared" si="2"/>
        <v>0</v>
      </c>
      <c r="AS27" s="1">
        <f t="shared" si="2"/>
        <v>0</v>
      </c>
      <c r="AT27" s="1">
        <f t="shared" si="2"/>
        <v>0</v>
      </c>
      <c r="AU27" s="1">
        <f t="shared" si="2"/>
        <v>0</v>
      </c>
      <c r="AV27" s="1">
        <f t="shared" si="2"/>
        <v>0</v>
      </c>
      <c r="AW27" s="1">
        <f t="shared" si="2"/>
        <v>0</v>
      </c>
      <c r="AX27" s="1">
        <f t="shared" si="2"/>
        <v>0</v>
      </c>
      <c r="AY27" s="1">
        <f t="shared" si="2"/>
        <v>0</v>
      </c>
      <c r="AZ27" s="1">
        <f t="shared" si="2"/>
        <v>0</v>
      </c>
      <c r="BA27" s="1">
        <f t="shared" si="2"/>
        <v>0</v>
      </c>
      <c r="BB27" s="1">
        <f t="shared" si="2"/>
        <v>0</v>
      </c>
      <c r="BC27" s="1">
        <f t="shared" si="2"/>
        <v>0</v>
      </c>
      <c r="BD27" s="1">
        <f t="shared" si="2"/>
        <v>0</v>
      </c>
      <c r="BE27" s="1">
        <f t="shared" si="2"/>
        <v>0</v>
      </c>
      <c r="BF27" s="1">
        <f t="shared" si="2"/>
        <v>0</v>
      </c>
      <c r="BG27" s="1">
        <f t="shared" si="2"/>
        <v>0</v>
      </c>
      <c r="BH27" s="1">
        <f t="shared" si="2"/>
        <v>0</v>
      </c>
      <c r="BI27" s="1">
        <f t="shared" si="2"/>
        <v>0</v>
      </c>
      <c r="BJ27" s="1">
        <f t="shared" si="2"/>
        <v>0</v>
      </c>
      <c r="BK27" s="1">
        <f t="shared" si="2"/>
        <v>0</v>
      </c>
      <c r="BL27" s="1">
        <f t="shared" si="2"/>
        <v>0</v>
      </c>
      <c r="BM27" s="1">
        <f t="shared" si="2"/>
        <v>0</v>
      </c>
      <c r="BN27" s="1">
        <f t="shared" si="2"/>
        <v>0</v>
      </c>
      <c r="BO27" s="1">
        <f t="shared" si="2"/>
        <v>0</v>
      </c>
      <c r="BP27" s="1">
        <f t="shared" si="2"/>
        <v>0</v>
      </c>
      <c r="BQ27" s="1">
        <f t="shared" si="2"/>
        <v>77.33333333</v>
      </c>
    </row>
    <row r="28" ht="15.75" customHeight="1">
      <c r="A28" s="11" t="s">
        <v>242</v>
      </c>
      <c r="B28" s="1">
        <v>106.0</v>
      </c>
      <c r="C28" s="1">
        <v>108.0</v>
      </c>
      <c r="D28" s="1"/>
      <c r="E28" s="1">
        <v>53.0</v>
      </c>
      <c r="F28" s="1"/>
      <c r="G28" s="1">
        <v>126.0</v>
      </c>
      <c r="H28" s="1">
        <v>125.0</v>
      </c>
      <c r="I28" s="1">
        <v>85.0</v>
      </c>
      <c r="J28" s="1">
        <v>80.0</v>
      </c>
      <c r="K28" s="1">
        <v>100.0</v>
      </c>
      <c r="L28" s="1">
        <v>88.0</v>
      </c>
      <c r="M28" s="1">
        <v>74.0</v>
      </c>
      <c r="N28" s="1">
        <v>85.0</v>
      </c>
      <c r="O28" s="1">
        <v>73.0</v>
      </c>
      <c r="P28" s="1"/>
      <c r="Q28" s="1">
        <v>89.0</v>
      </c>
      <c r="R28" s="1">
        <v>92.0</v>
      </c>
      <c r="S28" s="1">
        <v>97.0</v>
      </c>
      <c r="T28" s="1">
        <v>124.0</v>
      </c>
      <c r="U28" s="1">
        <v>88.0</v>
      </c>
      <c r="V28" s="1"/>
      <c r="W28" s="1"/>
      <c r="X28" s="1">
        <v>94.0</v>
      </c>
      <c r="Y28" s="1">
        <v>100.0</v>
      </c>
      <c r="Z28" s="1">
        <v>100.0</v>
      </c>
      <c r="AA28" s="1">
        <v>106.0</v>
      </c>
      <c r="AB28" s="1">
        <v>47.0</v>
      </c>
      <c r="AC28" s="1">
        <v>109.0</v>
      </c>
      <c r="AD28" s="1"/>
      <c r="AE28" s="1">
        <v>77.0</v>
      </c>
      <c r="AF28" s="1">
        <v>61.0</v>
      </c>
      <c r="AG28" s="1">
        <v>100.0</v>
      </c>
      <c r="AH28" s="1">
        <v>78.0</v>
      </c>
      <c r="AI28" s="1">
        <v>78.0</v>
      </c>
      <c r="AJ28" s="1"/>
      <c r="AK28" s="1">
        <v>80.0</v>
      </c>
      <c r="AL28" s="1">
        <v>105.0</v>
      </c>
      <c r="AM28" s="1"/>
      <c r="AN28" s="1">
        <v>87.0</v>
      </c>
      <c r="AO28" s="1">
        <v>109.0</v>
      </c>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2">
        <v>84.0</v>
      </c>
    </row>
    <row r="29" ht="15.75" customHeight="1">
      <c r="A29" s="11" t="s">
        <v>243</v>
      </c>
      <c r="B29" s="1">
        <v>6.1</v>
      </c>
      <c r="C29" s="1">
        <v>3.3</v>
      </c>
      <c r="D29" s="1"/>
      <c r="E29" s="1">
        <v>3.97</v>
      </c>
      <c r="F29" s="1"/>
      <c r="G29" s="1">
        <v>3.53</v>
      </c>
      <c r="H29" s="1">
        <v>3.6</v>
      </c>
      <c r="I29" s="1">
        <v>2.8</v>
      </c>
      <c r="J29" s="1">
        <v>4.3</v>
      </c>
      <c r="K29" s="1">
        <v>4.5</v>
      </c>
      <c r="L29" s="1">
        <v>4.23</v>
      </c>
      <c r="M29" s="1">
        <v>3.87</v>
      </c>
      <c r="N29" s="1">
        <v>3.43</v>
      </c>
      <c r="O29" s="1">
        <v>2.35</v>
      </c>
      <c r="P29" s="1"/>
      <c r="Q29" s="1">
        <v>2.9</v>
      </c>
      <c r="R29" s="1">
        <v>5.78</v>
      </c>
      <c r="S29" s="1">
        <v>4.1</v>
      </c>
      <c r="T29" s="1">
        <v>4.07</v>
      </c>
      <c r="U29" s="1">
        <v>3.47</v>
      </c>
      <c r="V29" s="1"/>
      <c r="W29" s="1"/>
      <c r="X29" s="1">
        <v>4.47</v>
      </c>
      <c r="Y29" s="1">
        <v>2.87</v>
      </c>
      <c r="Z29" s="1">
        <v>3.56</v>
      </c>
      <c r="AA29" s="1">
        <v>5.8</v>
      </c>
      <c r="AB29" s="1">
        <v>3.27</v>
      </c>
      <c r="AC29" s="1">
        <v>4.7</v>
      </c>
      <c r="AD29" s="1"/>
      <c r="AE29" s="1">
        <v>4.57</v>
      </c>
      <c r="AF29" s="1">
        <v>4.63</v>
      </c>
      <c r="AG29" s="1">
        <v>2.8</v>
      </c>
      <c r="AH29" s="1">
        <v>2.73</v>
      </c>
      <c r="AI29" s="1">
        <v>3.8</v>
      </c>
      <c r="AJ29" s="1"/>
      <c r="AK29" s="1">
        <v>3.63</v>
      </c>
      <c r="AL29" s="1">
        <v>1.9</v>
      </c>
      <c r="AM29" s="1"/>
      <c r="AN29" s="1">
        <v>3.9</v>
      </c>
      <c r="AO29" s="1">
        <v>1.77</v>
      </c>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2">
        <v>4.0</v>
      </c>
    </row>
    <row r="30" ht="15.75" customHeight="1">
      <c r="A30" s="3" t="s">
        <v>244</v>
      </c>
      <c r="B30" s="1">
        <f t="shared" ref="B30:BQ30" si="3">B29/B28</f>
        <v>0.05754716981</v>
      </c>
      <c r="C30" s="1">
        <f t="shared" si="3"/>
        <v>0.03055555556</v>
      </c>
      <c r="D30" s="1" t="str">
        <f t="shared" si="3"/>
        <v>#DIV/0!</v>
      </c>
      <c r="E30" s="1">
        <f t="shared" si="3"/>
        <v>0.07490566038</v>
      </c>
      <c r="F30" s="1" t="str">
        <f t="shared" si="3"/>
        <v>#DIV/0!</v>
      </c>
      <c r="G30" s="1">
        <f t="shared" si="3"/>
        <v>0.02801587302</v>
      </c>
      <c r="H30" s="1">
        <f t="shared" si="3"/>
        <v>0.0288</v>
      </c>
      <c r="I30" s="1">
        <f t="shared" si="3"/>
        <v>0.03294117647</v>
      </c>
      <c r="J30" s="1">
        <f t="shared" si="3"/>
        <v>0.05375</v>
      </c>
      <c r="K30" s="1">
        <f t="shared" si="3"/>
        <v>0.045</v>
      </c>
      <c r="L30" s="1">
        <f t="shared" si="3"/>
        <v>0.04806818182</v>
      </c>
      <c r="M30" s="1">
        <f t="shared" si="3"/>
        <v>0.0522972973</v>
      </c>
      <c r="N30" s="1">
        <f t="shared" si="3"/>
        <v>0.04035294118</v>
      </c>
      <c r="O30" s="1">
        <f t="shared" si="3"/>
        <v>0.03219178082</v>
      </c>
      <c r="P30" s="1" t="str">
        <f t="shared" si="3"/>
        <v>#DIV/0!</v>
      </c>
      <c r="Q30" s="1">
        <f t="shared" si="3"/>
        <v>0.03258426966</v>
      </c>
      <c r="R30" s="1">
        <f t="shared" si="3"/>
        <v>0.06282608696</v>
      </c>
      <c r="S30" s="1">
        <f t="shared" si="3"/>
        <v>0.04226804124</v>
      </c>
      <c r="T30" s="1">
        <f t="shared" si="3"/>
        <v>0.03282258065</v>
      </c>
      <c r="U30" s="1">
        <f t="shared" si="3"/>
        <v>0.03943181818</v>
      </c>
      <c r="V30" s="1" t="str">
        <f t="shared" si="3"/>
        <v>#DIV/0!</v>
      </c>
      <c r="W30" s="1" t="str">
        <f t="shared" si="3"/>
        <v>#DIV/0!</v>
      </c>
      <c r="X30" s="1">
        <f t="shared" si="3"/>
        <v>0.04755319149</v>
      </c>
      <c r="Y30" s="1">
        <f t="shared" si="3"/>
        <v>0.0287</v>
      </c>
      <c r="Z30" s="1">
        <f t="shared" si="3"/>
        <v>0.0356</v>
      </c>
      <c r="AA30" s="1">
        <f t="shared" si="3"/>
        <v>0.05471698113</v>
      </c>
      <c r="AB30" s="1">
        <f t="shared" si="3"/>
        <v>0.06957446809</v>
      </c>
      <c r="AC30" s="1">
        <f t="shared" si="3"/>
        <v>0.04311926606</v>
      </c>
      <c r="AD30" s="1" t="str">
        <f t="shared" si="3"/>
        <v>#DIV/0!</v>
      </c>
      <c r="AE30" s="1">
        <f t="shared" si="3"/>
        <v>0.05935064935</v>
      </c>
      <c r="AF30" s="1">
        <f t="shared" si="3"/>
        <v>0.07590163934</v>
      </c>
      <c r="AG30" s="1">
        <f t="shared" si="3"/>
        <v>0.028</v>
      </c>
      <c r="AH30" s="1">
        <f t="shared" si="3"/>
        <v>0.035</v>
      </c>
      <c r="AI30" s="1">
        <f t="shared" si="3"/>
        <v>0.04871794872</v>
      </c>
      <c r="AJ30" s="1" t="str">
        <f t="shared" si="3"/>
        <v>#DIV/0!</v>
      </c>
      <c r="AK30" s="1">
        <f t="shared" si="3"/>
        <v>0.045375</v>
      </c>
      <c r="AL30" s="1">
        <f t="shared" si="3"/>
        <v>0.0180952381</v>
      </c>
      <c r="AM30" s="1" t="str">
        <f t="shared" si="3"/>
        <v>#DIV/0!</v>
      </c>
      <c r="AN30" s="1">
        <f t="shared" si="3"/>
        <v>0.04482758621</v>
      </c>
      <c r="AO30" s="1">
        <f t="shared" si="3"/>
        <v>0.01623853211</v>
      </c>
      <c r="AP30" s="1" t="str">
        <f t="shared" si="3"/>
        <v>#DIV/0!</v>
      </c>
      <c r="AQ30" s="1" t="str">
        <f t="shared" si="3"/>
        <v>#DIV/0!</v>
      </c>
      <c r="AR30" s="1" t="str">
        <f t="shared" si="3"/>
        <v>#DIV/0!</v>
      </c>
      <c r="AS30" s="1" t="str">
        <f t="shared" si="3"/>
        <v>#DIV/0!</v>
      </c>
      <c r="AT30" s="1" t="str">
        <f t="shared" si="3"/>
        <v>#DIV/0!</v>
      </c>
      <c r="AU30" s="1" t="str">
        <f t="shared" si="3"/>
        <v>#DIV/0!</v>
      </c>
      <c r="AV30" s="1" t="str">
        <f t="shared" si="3"/>
        <v>#DIV/0!</v>
      </c>
      <c r="AW30" s="1" t="str">
        <f t="shared" si="3"/>
        <v>#DIV/0!</v>
      </c>
      <c r="AX30" s="1" t="str">
        <f t="shared" si="3"/>
        <v>#DIV/0!</v>
      </c>
      <c r="AY30" s="1" t="str">
        <f t="shared" si="3"/>
        <v>#DIV/0!</v>
      </c>
      <c r="AZ30" s="1" t="str">
        <f t="shared" si="3"/>
        <v>#DIV/0!</v>
      </c>
      <c r="BA30" s="1" t="str">
        <f t="shared" si="3"/>
        <v>#DIV/0!</v>
      </c>
      <c r="BB30" s="1" t="str">
        <f t="shared" si="3"/>
        <v>#DIV/0!</v>
      </c>
      <c r="BC30" s="1" t="str">
        <f t="shared" si="3"/>
        <v>#DIV/0!</v>
      </c>
      <c r="BD30" s="1" t="str">
        <f t="shared" si="3"/>
        <v>#DIV/0!</v>
      </c>
      <c r="BE30" s="1" t="str">
        <f t="shared" si="3"/>
        <v>#DIV/0!</v>
      </c>
      <c r="BF30" s="1" t="str">
        <f t="shared" si="3"/>
        <v>#DIV/0!</v>
      </c>
      <c r="BG30" s="1" t="str">
        <f t="shared" si="3"/>
        <v>#DIV/0!</v>
      </c>
      <c r="BH30" s="1" t="str">
        <f t="shared" si="3"/>
        <v>#DIV/0!</v>
      </c>
      <c r="BI30" s="1" t="str">
        <f t="shared" si="3"/>
        <v>#DIV/0!</v>
      </c>
      <c r="BJ30" s="1" t="str">
        <f t="shared" si="3"/>
        <v>#DIV/0!</v>
      </c>
      <c r="BK30" s="1" t="str">
        <f t="shared" si="3"/>
        <v>#DIV/0!</v>
      </c>
      <c r="BL30" s="1" t="str">
        <f t="shared" si="3"/>
        <v>#DIV/0!</v>
      </c>
      <c r="BM30" s="1" t="str">
        <f t="shared" si="3"/>
        <v>#DIV/0!</v>
      </c>
      <c r="BN30" s="1" t="str">
        <f t="shared" si="3"/>
        <v>#DIV/0!</v>
      </c>
      <c r="BO30" s="1" t="str">
        <f t="shared" si="3"/>
        <v>#DIV/0!</v>
      </c>
      <c r="BP30" s="1" t="str">
        <f t="shared" si="3"/>
        <v>#DIV/0!</v>
      </c>
      <c r="BQ30" s="1">
        <f t="shared" si="3"/>
        <v>0.04761904762</v>
      </c>
    </row>
    <row r="31" ht="15.75" customHeight="1">
      <c r="A31" s="11" t="s">
        <v>245</v>
      </c>
      <c r="B31" s="1">
        <v>75.9</v>
      </c>
      <c r="C31" s="1">
        <v>36.7</v>
      </c>
      <c r="D31" s="1"/>
      <c r="E31" s="1">
        <v>55.9</v>
      </c>
      <c r="F31" s="1"/>
      <c r="G31" s="1">
        <v>47.6</v>
      </c>
      <c r="H31" s="1" t="s">
        <v>232</v>
      </c>
      <c r="I31" s="1">
        <v>38.2</v>
      </c>
      <c r="J31" s="1"/>
      <c r="K31" s="1">
        <v>62.1</v>
      </c>
      <c r="L31" s="1">
        <v>56.2</v>
      </c>
      <c r="M31" s="1">
        <v>71.0</v>
      </c>
      <c r="N31" s="1">
        <v>64.9</v>
      </c>
      <c r="O31" s="1">
        <v>47.1</v>
      </c>
      <c r="P31" s="1"/>
      <c r="Q31" s="1">
        <v>45.1</v>
      </c>
      <c r="R31" s="1">
        <v>65.4</v>
      </c>
      <c r="S31" s="1">
        <v>57.0</v>
      </c>
      <c r="T31" s="2">
        <v>69.1</v>
      </c>
      <c r="U31" s="1">
        <v>66.0</v>
      </c>
      <c r="V31" s="1"/>
      <c r="W31" s="1"/>
      <c r="X31" s="1"/>
      <c r="Y31" s="1">
        <v>58.6</v>
      </c>
      <c r="Z31" s="1">
        <v>55.6</v>
      </c>
      <c r="AA31" s="1">
        <v>70.8</v>
      </c>
      <c r="AB31" s="1">
        <v>56.2</v>
      </c>
      <c r="AC31" s="1">
        <v>65.0</v>
      </c>
      <c r="AD31" s="1"/>
      <c r="AE31" s="1">
        <v>54.9</v>
      </c>
      <c r="AF31" s="1">
        <v>56.3</v>
      </c>
      <c r="AG31" s="1"/>
      <c r="AH31" s="1">
        <v>56.0</v>
      </c>
      <c r="AI31" s="1">
        <v>57.0</v>
      </c>
      <c r="AJ31" s="1"/>
      <c r="AK31" s="1">
        <v>51.0</v>
      </c>
      <c r="AL31" s="1">
        <v>40.0</v>
      </c>
      <c r="AM31" s="1"/>
      <c r="AN31" s="1" t="s">
        <v>232</v>
      </c>
      <c r="AO31" s="1">
        <v>50.0</v>
      </c>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2">
        <v>38.8</v>
      </c>
    </row>
    <row r="32" ht="15.75" customHeight="1">
      <c r="A32" s="11" t="s">
        <v>246</v>
      </c>
      <c r="B32" s="1">
        <v>97.0</v>
      </c>
      <c r="C32" s="1">
        <v>99.0</v>
      </c>
      <c r="D32" s="1"/>
      <c r="E32" s="1">
        <v>97.0</v>
      </c>
      <c r="F32" s="1"/>
      <c r="G32" s="1">
        <v>97.0</v>
      </c>
      <c r="H32" s="1" t="s">
        <v>232</v>
      </c>
      <c r="I32" s="1">
        <v>100.0</v>
      </c>
      <c r="J32" s="1">
        <v>97.0</v>
      </c>
      <c r="K32" s="1">
        <v>97.0</v>
      </c>
      <c r="L32" s="1">
        <v>97.0</v>
      </c>
      <c r="M32" s="1">
        <v>95.0</v>
      </c>
      <c r="N32" s="1">
        <v>98.0</v>
      </c>
      <c r="O32" s="1">
        <v>98.0</v>
      </c>
      <c r="P32" s="1"/>
      <c r="Q32" s="1">
        <v>95.0</v>
      </c>
      <c r="R32" s="1">
        <v>94.0</v>
      </c>
      <c r="S32" s="1">
        <v>96.0</v>
      </c>
      <c r="T32" s="1">
        <v>96.0</v>
      </c>
      <c r="U32" s="1">
        <v>100.0</v>
      </c>
      <c r="V32" s="1"/>
      <c r="W32" s="1"/>
      <c r="X32" s="1"/>
      <c r="Y32" s="1">
        <v>96.0</v>
      </c>
      <c r="Z32" s="1">
        <v>97.0</v>
      </c>
      <c r="AA32" s="1">
        <v>96.0</v>
      </c>
      <c r="AB32" s="1">
        <v>96.0</v>
      </c>
      <c r="AC32" s="1">
        <v>97.0</v>
      </c>
      <c r="AD32" s="1"/>
      <c r="AE32" s="1">
        <v>93.0</v>
      </c>
      <c r="AF32" s="1">
        <v>93.0</v>
      </c>
      <c r="AG32" s="1">
        <v>97.0</v>
      </c>
      <c r="AH32" s="1">
        <v>99.0</v>
      </c>
      <c r="AI32" s="1">
        <v>95.0</v>
      </c>
      <c r="AJ32" s="1"/>
      <c r="AK32" s="1">
        <v>97.0</v>
      </c>
      <c r="AL32" s="1">
        <v>97.0</v>
      </c>
      <c r="AM32" s="1"/>
      <c r="AN32" s="1" t="s">
        <v>232</v>
      </c>
      <c r="AO32" s="1">
        <v>100.0</v>
      </c>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2">
        <v>96.0</v>
      </c>
    </row>
    <row r="33" ht="15.75" customHeight="1">
      <c r="A33" s="2" t="s">
        <v>247</v>
      </c>
      <c r="B33" s="1">
        <f t="shared" ref="B33:AN33" si="4">(B20-B21)/B17</f>
        <v>1.5</v>
      </c>
      <c r="C33" s="1">
        <f t="shared" si="4"/>
        <v>1.5</v>
      </c>
      <c r="D33" s="1" t="str">
        <f t="shared" si="4"/>
        <v>#DIV/0!</v>
      </c>
      <c r="E33" s="1">
        <f t="shared" si="4"/>
        <v>6.4</v>
      </c>
      <c r="F33" s="1" t="str">
        <f t="shared" si="4"/>
        <v>#DIV/0!</v>
      </c>
      <c r="G33" s="1">
        <f t="shared" si="4"/>
        <v>2.285714286</v>
      </c>
      <c r="H33" s="1">
        <f t="shared" si="4"/>
        <v>1.4</v>
      </c>
      <c r="I33" s="1">
        <f t="shared" si="4"/>
        <v>3.25</v>
      </c>
      <c r="J33" s="1">
        <f t="shared" si="4"/>
        <v>2.166666667</v>
      </c>
      <c r="K33" s="1">
        <f t="shared" si="4"/>
        <v>1.666666667</v>
      </c>
      <c r="L33" s="1">
        <f t="shared" si="4"/>
        <v>1.857142857</v>
      </c>
      <c r="M33" s="1">
        <f t="shared" si="4"/>
        <v>2.1</v>
      </c>
      <c r="N33" s="1">
        <f t="shared" si="4"/>
        <v>1.153846154</v>
      </c>
      <c r="O33" s="1">
        <f t="shared" si="4"/>
        <v>2</v>
      </c>
      <c r="P33" s="1" t="str">
        <f t="shared" si="4"/>
        <v>#DIV/0!</v>
      </c>
      <c r="Q33" s="1">
        <f t="shared" si="4"/>
        <v>3.230769231</v>
      </c>
      <c r="R33" s="1">
        <f t="shared" si="4"/>
        <v>7</v>
      </c>
      <c r="S33" s="1">
        <f t="shared" si="4"/>
        <v>1.523809524</v>
      </c>
      <c r="T33" s="1">
        <f t="shared" si="4"/>
        <v>3.888888889</v>
      </c>
      <c r="U33" s="1">
        <f t="shared" si="4"/>
        <v>2.2</v>
      </c>
      <c r="V33" s="1" t="str">
        <f t="shared" si="4"/>
        <v>#DIV/0!</v>
      </c>
      <c r="W33" s="1" t="str">
        <f t="shared" si="4"/>
        <v>#DIV/0!</v>
      </c>
      <c r="X33" s="1">
        <f t="shared" si="4"/>
        <v>1.933333333</v>
      </c>
      <c r="Y33" s="1">
        <f t="shared" si="4"/>
        <v>1.272727273</v>
      </c>
      <c r="Z33" s="1">
        <f t="shared" si="4"/>
        <v>1</v>
      </c>
      <c r="AA33" s="1">
        <f t="shared" si="4"/>
        <v>2.75</v>
      </c>
      <c r="AB33" s="1">
        <f t="shared" si="4"/>
        <v>2.8</v>
      </c>
      <c r="AC33" s="1">
        <f t="shared" si="4"/>
        <v>5.4</v>
      </c>
      <c r="AD33" s="1" t="str">
        <f t="shared" si="4"/>
        <v>#DIV/0!</v>
      </c>
      <c r="AE33" s="1">
        <f t="shared" si="4"/>
        <v>1.2</v>
      </c>
      <c r="AF33" s="1">
        <f t="shared" si="4"/>
        <v>1.444444444</v>
      </c>
      <c r="AG33" s="1">
        <f t="shared" si="4"/>
        <v>0.7083333333</v>
      </c>
      <c r="AH33" s="1">
        <f t="shared" si="4"/>
        <v>3</v>
      </c>
      <c r="AI33" s="1">
        <f t="shared" si="4"/>
        <v>8.5</v>
      </c>
      <c r="AJ33" s="1" t="str">
        <f t="shared" si="4"/>
        <v>#DIV/0!</v>
      </c>
      <c r="AK33" s="1">
        <f t="shared" si="4"/>
        <v>1.318181818</v>
      </c>
      <c r="AL33" s="1">
        <f t="shared" si="4"/>
        <v>1.55</v>
      </c>
      <c r="AM33" s="1" t="str">
        <f t="shared" si="4"/>
        <v>#DIV/0!</v>
      </c>
      <c r="AN33" s="1">
        <f t="shared" si="4"/>
        <v>1.857142857</v>
      </c>
      <c r="AO33" s="1">
        <f>(AO20-AO21)/AO18</f>
        <v>0.4150943396</v>
      </c>
      <c r="AP33" s="1" t="str">
        <f t="shared" ref="AP33:BQ33" si="5">(AP20-AP21)/AP17</f>
        <v>#DIV/0!</v>
      </c>
      <c r="AQ33" s="1" t="str">
        <f t="shared" si="5"/>
        <v>#DIV/0!</v>
      </c>
      <c r="AR33" s="1" t="str">
        <f t="shared" si="5"/>
        <v>#DIV/0!</v>
      </c>
      <c r="AS33" s="1" t="str">
        <f t="shared" si="5"/>
        <v>#DIV/0!</v>
      </c>
      <c r="AT33" s="1" t="str">
        <f t="shared" si="5"/>
        <v>#DIV/0!</v>
      </c>
      <c r="AU33" s="1" t="str">
        <f t="shared" si="5"/>
        <v>#DIV/0!</v>
      </c>
      <c r="AV33" s="1" t="str">
        <f t="shared" si="5"/>
        <v>#DIV/0!</v>
      </c>
      <c r="AW33" s="1" t="str">
        <f t="shared" si="5"/>
        <v>#DIV/0!</v>
      </c>
      <c r="AX33" s="1" t="str">
        <f t="shared" si="5"/>
        <v>#DIV/0!</v>
      </c>
      <c r="AY33" s="1" t="str">
        <f t="shared" si="5"/>
        <v>#DIV/0!</v>
      </c>
      <c r="AZ33" s="1" t="str">
        <f t="shared" si="5"/>
        <v>#DIV/0!</v>
      </c>
      <c r="BA33" s="1" t="str">
        <f t="shared" si="5"/>
        <v>#DIV/0!</v>
      </c>
      <c r="BB33" s="1" t="str">
        <f t="shared" si="5"/>
        <v>#DIV/0!</v>
      </c>
      <c r="BC33" s="1" t="str">
        <f t="shared" si="5"/>
        <v>#DIV/0!</v>
      </c>
      <c r="BD33" s="1" t="str">
        <f t="shared" si="5"/>
        <v>#DIV/0!</v>
      </c>
      <c r="BE33" s="1" t="str">
        <f t="shared" si="5"/>
        <v>#DIV/0!</v>
      </c>
      <c r="BF33" s="1" t="str">
        <f t="shared" si="5"/>
        <v>#DIV/0!</v>
      </c>
      <c r="BG33" s="1" t="str">
        <f t="shared" si="5"/>
        <v>#DIV/0!</v>
      </c>
      <c r="BH33" s="1" t="str">
        <f t="shared" si="5"/>
        <v>#DIV/0!</v>
      </c>
      <c r="BI33" s="1" t="str">
        <f t="shared" si="5"/>
        <v>#DIV/0!</v>
      </c>
      <c r="BJ33" s="1" t="str">
        <f t="shared" si="5"/>
        <v>#DIV/0!</v>
      </c>
      <c r="BK33" s="1" t="str">
        <f t="shared" si="5"/>
        <v>#DIV/0!</v>
      </c>
      <c r="BL33" s="1" t="str">
        <f t="shared" si="5"/>
        <v>#DIV/0!</v>
      </c>
      <c r="BM33" s="1" t="str">
        <f t="shared" si="5"/>
        <v>#DIV/0!</v>
      </c>
      <c r="BN33" s="1" t="str">
        <f t="shared" si="5"/>
        <v>#DIV/0!</v>
      </c>
      <c r="BO33" s="1" t="str">
        <f t="shared" si="5"/>
        <v>#DIV/0!</v>
      </c>
      <c r="BP33" s="1" t="str">
        <f t="shared" si="5"/>
        <v>#DIV/0!</v>
      </c>
      <c r="BQ33" s="1">
        <f t="shared" si="5"/>
        <v>2</v>
      </c>
    </row>
    <row r="34" ht="15.75" customHeight="1">
      <c r="A34" s="2" t="s">
        <v>248</v>
      </c>
      <c r="B34" s="1">
        <f t="shared" ref="B34:BQ34" si="6">(B27*B29)/451</f>
        <v>1.086548411</v>
      </c>
      <c r="C34" s="1">
        <f t="shared" si="6"/>
        <v>0.6073170732</v>
      </c>
      <c r="D34" s="1">
        <f t="shared" si="6"/>
        <v>0</v>
      </c>
      <c r="E34" s="1">
        <f t="shared" si="6"/>
        <v>0.7452919438</v>
      </c>
      <c r="F34" s="1">
        <f t="shared" si="6"/>
        <v>0</v>
      </c>
      <c r="G34" s="1">
        <f t="shared" si="6"/>
        <v>0.6079009608</v>
      </c>
      <c r="H34" s="1">
        <f t="shared" si="6"/>
        <v>0.5534368071</v>
      </c>
      <c r="I34" s="1">
        <f t="shared" si="6"/>
        <v>0.4573540281</v>
      </c>
      <c r="J34" s="1">
        <f t="shared" si="6"/>
        <v>0.7945306726</v>
      </c>
      <c r="K34" s="1">
        <f t="shared" si="6"/>
        <v>0.6718403548</v>
      </c>
      <c r="L34" s="1">
        <f t="shared" si="6"/>
        <v>1.14113082</v>
      </c>
      <c r="M34" s="1">
        <f t="shared" si="6"/>
        <v>0.7694235033</v>
      </c>
      <c r="N34" s="1">
        <f t="shared" si="6"/>
        <v>0.4613895048</v>
      </c>
      <c r="O34" s="1">
        <f t="shared" si="6"/>
        <v>0.4064301552</v>
      </c>
      <c r="P34" s="1">
        <f t="shared" si="6"/>
        <v>0</v>
      </c>
      <c r="Q34" s="1">
        <f t="shared" si="6"/>
        <v>0.5036954915</v>
      </c>
      <c r="R34" s="1">
        <f t="shared" si="6"/>
        <v>1.221788618</v>
      </c>
      <c r="S34" s="1">
        <f t="shared" si="6"/>
        <v>0.8151515152</v>
      </c>
      <c r="T34" s="1">
        <f t="shared" si="6"/>
        <v>0.9836585366</v>
      </c>
      <c r="U34" s="1">
        <f t="shared" si="6"/>
        <v>0.6642498152</v>
      </c>
      <c r="V34" s="1">
        <f t="shared" si="6"/>
        <v>0</v>
      </c>
      <c r="W34" s="1">
        <f t="shared" si="6"/>
        <v>0</v>
      </c>
      <c r="X34" s="1">
        <f t="shared" si="6"/>
        <v>0.8061197339</v>
      </c>
      <c r="Y34" s="1">
        <f t="shared" si="6"/>
        <v>0.4815151515</v>
      </c>
      <c r="Z34" s="1">
        <f t="shared" si="6"/>
        <v>0.7762010347</v>
      </c>
      <c r="AA34" s="1">
        <f t="shared" si="6"/>
        <v>1.088839616</v>
      </c>
      <c r="AB34" s="1">
        <f t="shared" si="6"/>
        <v>0.55345898</v>
      </c>
      <c r="AC34" s="1">
        <f t="shared" si="6"/>
        <v>0.7815964523</v>
      </c>
      <c r="AD34" s="1">
        <f t="shared" si="6"/>
        <v>0</v>
      </c>
      <c r="AE34" s="1">
        <f t="shared" si="6"/>
        <v>0.8342867701</v>
      </c>
      <c r="AF34" s="1">
        <f t="shared" si="6"/>
        <v>0.7425794531</v>
      </c>
      <c r="AG34" s="1">
        <f t="shared" si="6"/>
        <v>0.4635624538</v>
      </c>
      <c r="AH34" s="1">
        <f t="shared" si="6"/>
        <v>0.5205764967</v>
      </c>
      <c r="AI34" s="1">
        <f t="shared" si="6"/>
        <v>0.6347376201</v>
      </c>
      <c r="AJ34" s="1">
        <f t="shared" si="6"/>
        <v>0</v>
      </c>
      <c r="AK34" s="1">
        <f t="shared" si="6"/>
        <v>0.6036585366</v>
      </c>
      <c r="AL34" s="1">
        <f t="shared" si="6"/>
        <v>0.3903917221</v>
      </c>
      <c r="AM34" s="1">
        <f t="shared" si="6"/>
        <v>0</v>
      </c>
      <c r="AN34" s="1">
        <f t="shared" si="6"/>
        <v>0.7119733925</v>
      </c>
      <c r="AO34" s="1">
        <f t="shared" si="6"/>
        <v>0.29827051</v>
      </c>
      <c r="AP34" s="1">
        <f t="shared" si="6"/>
        <v>0</v>
      </c>
      <c r="AQ34" s="1">
        <f t="shared" si="6"/>
        <v>0</v>
      </c>
      <c r="AR34" s="1">
        <f t="shared" si="6"/>
        <v>0</v>
      </c>
      <c r="AS34" s="1">
        <f t="shared" si="6"/>
        <v>0</v>
      </c>
      <c r="AT34" s="1">
        <f t="shared" si="6"/>
        <v>0</v>
      </c>
      <c r="AU34" s="1">
        <f t="shared" si="6"/>
        <v>0</v>
      </c>
      <c r="AV34" s="1">
        <f t="shared" si="6"/>
        <v>0</v>
      </c>
      <c r="AW34" s="1">
        <f t="shared" si="6"/>
        <v>0</v>
      </c>
      <c r="AX34" s="1">
        <f t="shared" si="6"/>
        <v>0</v>
      </c>
      <c r="AY34" s="1">
        <f t="shared" si="6"/>
        <v>0</v>
      </c>
      <c r="AZ34" s="1">
        <f t="shared" si="6"/>
        <v>0</v>
      </c>
      <c r="BA34" s="1">
        <f t="shared" si="6"/>
        <v>0</v>
      </c>
      <c r="BB34" s="1">
        <f t="shared" si="6"/>
        <v>0</v>
      </c>
      <c r="BC34" s="1">
        <f t="shared" si="6"/>
        <v>0</v>
      </c>
      <c r="BD34" s="1">
        <f t="shared" si="6"/>
        <v>0</v>
      </c>
      <c r="BE34" s="1">
        <f t="shared" si="6"/>
        <v>0</v>
      </c>
      <c r="BF34" s="1">
        <f t="shared" si="6"/>
        <v>0</v>
      </c>
      <c r="BG34" s="1">
        <f t="shared" si="6"/>
        <v>0</v>
      </c>
      <c r="BH34" s="1">
        <f t="shared" si="6"/>
        <v>0</v>
      </c>
      <c r="BI34" s="1">
        <f t="shared" si="6"/>
        <v>0</v>
      </c>
      <c r="BJ34" s="1">
        <f t="shared" si="6"/>
        <v>0</v>
      </c>
      <c r="BK34" s="1">
        <f t="shared" si="6"/>
        <v>0</v>
      </c>
      <c r="BL34" s="1">
        <f t="shared" si="6"/>
        <v>0</v>
      </c>
      <c r="BM34" s="1">
        <f t="shared" si="6"/>
        <v>0</v>
      </c>
      <c r="BN34" s="1">
        <f t="shared" si="6"/>
        <v>0</v>
      </c>
      <c r="BO34" s="1">
        <f t="shared" si="6"/>
        <v>0</v>
      </c>
      <c r="BP34" s="1">
        <f t="shared" si="6"/>
        <v>0</v>
      </c>
      <c r="BQ34" s="1">
        <f t="shared" si="6"/>
        <v>0.6858832225</v>
      </c>
    </row>
    <row r="35" ht="15.75" customHeight="1">
      <c r="A35" s="3" t="s">
        <v>249</v>
      </c>
      <c r="B35" s="1">
        <f t="shared" ref="B35:BQ35" si="7">(B22*B29)/451</f>
        <v>0.4733924612</v>
      </c>
      <c r="C35" s="1">
        <f t="shared" si="7"/>
        <v>0.3146341463</v>
      </c>
      <c r="D35" s="1">
        <f t="shared" si="7"/>
        <v>0</v>
      </c>
      <c r="E35" s="1">
        <f t="shared" si="7"/>
        <v>0.2992904656</v>
      </c>
      <c r="F35" s="1">
        <f t="shared" si="7"/>
        <v>0</v>
      </c>
      <c r="G35" s="1">
        <f t="shared" si="7"/>
        <v>0.2035033259</v>
      </c>
      <c r="H35" s="1">
        <f t="shared" si="7"/>
        <v>0.3352549889</v>
      </c>
      <c r="I35" s="1">
        <f t="shared" si="7"/>
        <v>0.2235033259</v>
      </c>
      <c r="J35" s="1">
        <f t="shared" si="7"/>
        <v>0.2192904656</v>
      </c>
      <c r="K35" s="1">
        <f t="shared" si="7"/>
        <v>0.389135255</v>
      </c>
      <c r="L35" s="1">
        <f t="shared" si="7"/>
        <v>0.4689578714</v>
      </c>
      <c r="M35" s="1">
        <f t="shared" si="7"/>
        <v>0.2316851441</v>
      </c>
      <c r="N35" s="1">
        <f t="shared" si="7"/>
        <v>0.1977383592</v>
      </c>
      <c r="O35" s="1">
        <f t="shared" si="7"/>
        <v>0.1927937916</v>
      </c>
      <c r="P35" s="1">
        <f t="shared" si="7"/>
        <v>0</v>
      </c>
      <c r="Q35" s="1">
        <f t="shared" si="7"/>
        <v>0.3215077605</v>
      </c>
      <c r="R35" s="1">
        <f t="shared" si="7"/>
        <v>0.7945898004</v>
      </c>
      <c r="S35" s="1">
        <f t="shared" si="7"/>
        <v>0.3454545455</v>
      </c>
      <c r="T35" s="1">
        <f t="shared" si="7"/>
        <v>0.3158536585</v>
      </c>
      <c r="U35" s="1">
        <f t="shared" si="7"/>
        <v>0.1307982262</v>
      </c>
      <c r="V35" s="1">
        <f t="shared" si="7"/>
        <v>0</v>
      </c>
      <c r="W35" s="1">
        <f t="shared" si="7"/>
        <v>0</v>
      </c>
      <c r="X35" s="1">
        <f t="shared" si="7"/>
        <v>0.3072505543</v>
      </c>
      <c r="Y35" s="1">
        <f t="shared" si="7"/>
        <v>0.1909090909</v>
      </c>
      <c r="Z35" s="1">
        <f t="shared" si="7"/>
        <v>0.2762749446</v>
      </c>
      <c r="AA35" s="1">
        <f t="shared" si="7"/>
        <v>0.5401330377</v>
      </c>
      <c r="AB35" s="1">
        <f t="shared" si="7"/>
        <v>0.2102660754</v>
      </c>
      <c r="AC35" s="1">
        <f t="shared" si="7"/>
        <v>0.2292682927</v>
      </c>
      <c r="AD35" s="1">
        <f t="shared" si="7"/>
        <v>0</v>
      </c>
      <c r="AE35" s="1">
        <f t="shared" si="7"/>
        <v>0.4053215078</v>
      </c>
      <c r="AF35" s="1">
        <f t="shared" si="7"/>
        <v>0.2977161863</v>
      </c>
      <c r="AG35" s="1">
        <f t="shared" si="7"/>
        <v>0.2235033259</v>
      </c>
      <c r="AH35" s="1">
        <f t="shared" si="7"/>
        <v>0.157383592</v>
      </c>
      <c r="AI35" s="1">
        <f t="shared" si="7"/>
        <v>0.311751663</v>
      </c>
      <c r="AJ35" s="1">
        <f t="shared" si="7"/>
        <v>0</v>
      </c>
      <c r="AK35" s="1">
        <f t="shared" si="7"/>
        <v>0.4024390244</v>
      </c>
      <c r="AL35" s="1">
        <f t="shared" si="7"/>
        <v>0.1980044346</v>
      </c>
      <c r="AM35" s="1">
        <f t="shared" si="7"/>
        <v>0</v>
      </c>
      <c r="AN35" s="1">
        <f t="shared" si="7"/>
        <v>0.4150776053</v>
      </c>
      <c r="AO35" s="1">
        <f t="shared" si="7"/>
        <v>0.153059867</v>
      </c>
      <c r="AP35" s="1">
        <f t="shared" si="7"/>
        <v>0</v>
      </c>
      <c r="AQ35" s="1">
        <f t="shared" si="7"/>
        <v>0</v>
      </c>
      <c r="AR35" s="1">
        <f t="shared" si="7"/>
        <v>0</v>
      </c>
      <c r="AS35" s="1">
        <f t="shared" si="7"/>
        <v>0</v>
      </c>
      <c r="AT35" s="1">
        <f t="shared" si="7"/>
        <v>0</v>
      </c>
      <c r="AU35" s="1">
        <f t="shared" si="7"/>
        <v>0</v>
      </c>
      <c r="AV35" s="1">
        <f t="shared" si="7"/>
        <v>0</v>
      </c>
      <c r="AW35" s="1">
        <f t="shared" si="7"/>
        <v>0</v>
      </c>
      <c r="AX35" s="1">
        <f t="shared" si="7"/>
        <v>0</v>
      </c>
      <c r="AY35" s="1">
        <f t="shared" si="7"/>
        <v>0</v>
      </c>
      <c r="AZ35" s="1">
        <f t="shared" si="7"/>
        <v>0</v>
      </c>
      <c r="BA35" s="1">
        <f t="shared" si="7"/>
        <v>0</v>
      </c>
      <c r="BB35" s="1">
        <f t="shared" si="7"/>
        <v>0</v>
      </c>
      <c r="BC35" s="1">
        <f t="shared" si="7"/>
        <v>0</v>
      </c>
      <c r="BD35" s="1">
        <f t="shared" si="7"/>
        <v>0</v>
      </c>
      <c r="BE35" s="1">
        <f t="shared" si="7"/>
        <v>0</v>
      </c>
      <c r="BF35" s="1">
        <f t="shared" si="7"/>
        <v>0</v>
      </c>
      <c r="BG35" s="1">
        <f t="shared" si="7"/>
        <v>0</v>
      </c>
      <c r="BH35" s="1">
        <f t="shared" si="7"/>
        <v>0</v>
      </c>
      <c r="BI35" s="1">
        <f t="shared" si="7"/>
        <v>0</v>
      </c>
      <c r="BJ35" s="1">
        <f t="shared" si="7"/>
        <v>0</v>
      </c>
      <c r="BK35" s="1">
        <f t="shared" si="7"/>
        <v>0</v>
      </c>
      <c r="BL35" s="1">
        <f t="shared" si="7"/>
        <v>0</v>
      </c>
      <c r="BM35" s="1">
        <f t="shared" si="7"/>
        <v>0</v>
      </c>
      <c r="BN35" s="1">
        <f t="shared" si="7"/>
        <v>0</v>
      </c>
      <c r="BO35" s="1">
        <f t="shared" si="7"/>
        <v>0</v>
      </c>
      <c r="BP35" s="1">
        <f t="shared" si="7"/>
        <v>0</v>
      </c>
      <c r="BQ35" s="1">
        <f t="shared" si="7"/>
        <v>0.3370288248</v>
      </c>
    </row>
    <row r="36" ht="15.75" customHeight="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row>
    <row r="37" ht="15.75" customHeight="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row>
    <row r="38" ht="15.75" customHeight="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row>
    <row r="39" ht="15.75" customHeight="1">
      <c r="A39" s="12" t="s">
        <v>250</v>
      </c>
      <c r="B39" s="1"/>
      <c r="C39" s="1"/>
      <c r="D39" s="1"/>
      <c r="E39" s="1" t="s">
        <v>251</v>
      </c>
      <c r="F39" s="1"/>
      <c r="G39" s="1"/>
      <c r="H39" s="1"/>
      <c r="I39" s="1"/>
      <c r="J39" s="5" t="s">
        <v>252</v>
      </c>
      <c r="K39" s="5" t="s">
        <v>253</v>
      </c>
      <c r="L39" s="1"/>
      <c r="M39" s="1"/>
      <c r="N39" s="1"/>
      <c r="O39" s="5" t="s">
        <v>254</v>
      </c>
      <c r="P39" s="1"/>
      <c r="Q39" s="1"/>
      <c r="R39" s="5" t="s">
        <v>255</v>
      </c>
      <c r="S39" s="1"/>
      <c r="T39" s="1"/>
      <c r="U39" s="5" t="s">
        <v>256</v>
      </c>
      <c r="V39" s="1"/>
      <c r="W39" s="1"/>
      <c r="X39" s="1"/>
      <c r="Y39" s="1"/>
      <c r="Z39" s="1"/>
      <c r="AA39" s="1" t="s">
        <v>257</v>
      </c>
      <c r="AB39" s="1"/>
      <c r="AC39" s="1" t="s">
        <v>258</v>
      </c>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row>
    <row r="40" ht="15.75" customHeight="1">
      <c r="A40" s="11" t="s">
        <v>230</v>
      </c>
      <c r="B40" s="1">
        <v>7.0</v>
      </c>
      <c r="C40" s="1">
        <v>18.0</v>
      </c>
      <c r="D40" s="1"/>
      <c r="E40" s="1">
        <v>10.0</v>
      </c>
      <c r="F40" s="1"/>
      <c r="G40" s="1">
        <v>10.0</v>
      </c>
      <c r="H40" s="1">
        <v>7.0</v>
      </c>
      <c r="I40" s="1">
        <v>5.0</v>
      </c>
      <c r="J40" s="1">
        <v>7.0</v>
      </c>
      <c r="K40" s="1">
        <v>14.0</v>
      </c>
      <c r="L40" s="1"/>
      <c r="M40" s="1">
        <v>15.0</v>
      </c>
      <c r="N40" s="1">
        <v>8.0</v>
      </c>
      <c r="O40" s="1">
        <v>15.0</v>
      </c>
      <c r="P40" s="1"/>
      <c r="Q40" s="1">
        <v>13.0</v>
      </c>
      <c r="R40" s="1">
        <v>6.0</v>
      </c>
      <c r="S40" s="1">
        <v>17.0</v>
      </c>
      <c r="T40" s="1">
        <v>9.0</v>
      </c>
      <c r="U40" s="1">
        <v>3.0</v>
      </c>
      <c r="V40" s="1"/>
      <c r="W40" s="1"/>
      <c r="X40" s="1">
        <v>4.0</v>
      </c>
      <c r="Y40" s="1">
        <v>14.0</v>
      </c>
      <c r="Z40" s="1">
        <v>6.0</v>
      </c>
      <c r="AA40" s="1"/>
      <c r="AB40" s="1">
        <v>11.0</v>
      </c>
      <c r="AC40" s="1"/>
      <c r="AD40" s="1"/>
      <c r="AE40" s="1">
        <v>7.0</v>
      </c>
      <c r="AF40" s="1">
        <v>9.0</v>
      </c>
      <c r="AG40" s="1">
        <v>18.0</v>
      </c>
      <c r="AH40" s="1">
        <v>14.0</v>
      </c>
      <c r="AI40" s="1">
        <v>11.0</v>
      </c>
      <c r="AJ40" s="1"/>
      <c r="AK40" s="1">
        <v>27.0</v>
      </c>
      <c r="AL40" s="1">
        <v>10.0</v>
      </c>
      <c r="AM40" s="1"/>
      <c r="AN40" s="1">
        <v>12.0</v>
      </c>
      <c r="AO40" s="1">
        <v>4.0</v>
      </c>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2">
        <v>11.0</v>
      </c>
    </row>
    <row r="41" ht="15.75" customHeight="1">
      <c r="A41" s="11" t="s">
        <v>231</v>
      </c>
      <c r="B41" s="1" t="s">
        <v>232</v>
      </c>
      <c r="C41" s="1" t="s">
        <v>232</v>
      </c>
      <c r="D41" s="1"/>
      <c r="E41" s="1"/>
      <c r="F41" s="1"/>
      <c r="G41" s="1" t="s">
        <v>232</v>
      </c>
      <c r="H41" s="1" t="s">
        <v>232</v>
      </c>
      <c r="I41" s="1" t="s">
        <v>232</v>
      </c>
      <c r="J41" s="1" t="s">
        <v>232</v>
      </c>
      <c r="K41" s="1" t="s">
        <v>232</v>
      </c>
      <c r="L41" s="1"/>
      <c r="M41" s="1" t="s">
        <v>232</v>
      </c>
      <c r="N41" s="1" t="s">
        <v>232</v>
      </c>
      <c r="O41" s="1" t="s">
        <v>232</v>
      </c>
      <c r="P41" s="1"/>
      <c r="Q41" s="1" t="s">
        <v>232</v>
      </c>
      <c r="R41" s="1">
        <v>55.0</v>
      </c>
      <c r="S41" s="1" t="s">
        <v>232</v>
      </c>
      <c r="T41" s="1" t="s">
        <v>232</v>
      </c>
      <c r="U41" s="1" t="s">
        <v>232</v>
      </c>
      <c r="V41" s="1"/>
      <c r="W41" s="1"/>
      <c r="X41" s="1" t="s">
        <v>232</v>
      </c>
      <c r="Y41" s="1" t="s">
        <v>232</v>
      </c>
      <c r="Z41" s="1" t="s">
        <v>232</v>
      </c>
      <c r="AA41" s="1"/>
      <c r="AB41" s="1" t="s">
        <v>232</v>
      </c>
      <c r="AC41" s="1"/>
      <c r="AD41" s="1"/>
      <c r="AE41" s="1" t="s">
        <v>232</v>
      </c>
      <c r="AF41" s="1" t="s">
        <v>232</v>
      </c>
      <c r="AG41" s="1" t="s">
        <v>232</v>
      </c>
      <c r="AH41" s="1" t="s">
        <v>232</v>
      </c>
      <c r="AI41" s="1" t="s">
        <v>232</v>
      </c>
      <c r="AJ41" s="1"/>
      <c r="AK41" s="1" t="s">
        <v>232</v>
      </c>
      <c r="AL41" s="1" t="s">
        <v>232</v>
      </c>
      <c r="AM41" s="1"/>
      <c r="AN41" s="1" t="s">
        <v>232</v>
      </c>
      <c r="AO41" s="1" t="s">
        <v>232</v>
      </c>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2" t="s">
        <v>232</v>
      </c>
    </row>
    <row r="42" ht="15.75" customHeight="1">
      <c r="A42" s="11" t="s">
        <v>233</v>
      </c>
      <c r="B42" s="1" t="s">
        <v>232</v>
      </c>
      <c r="C42" s="1" t="s">
        <v>232</v>
      </c>
      <c r="D42" s="1"/>
      <c r="E42" s="1"/>
      <c r="F42" s="1"/>
      <c r="G42" s="1" t="s">
        <v>232</v>
      </c>
      <c r="H42" s="1" t="s">
        <v>232</v>
      </c>
      <c r="I42" s="1" t="s">
        <v>232</v>
      </c>
      <c r="J42" s="1" t="s">
        <v>232</v>
      </c>
      <c r="K42" s="1" t="s">
        <v>232</v>
      </c>
      <c r="L42" s="1"/>
      <c r="M42" s="1" t="s">
        <v>232</v>
      </c>
      <c r="N42" s="1" t="s">
        <v>232</v>
      </c>
      <c r="O42" s="1" t="s">
        <v>232</v>
      </c>
      <c r="P42" s="1"/>
      <c r="Q42" s="1" t="s">
        <v>232</v>
      </c>
      <c r="R42" s="1">
        <v>7.0</v>
      </c>
      <c r="S42" s="1" t="s">
        <v>232</v>
      </c>
      <c r="T42" s="1" t="s">
        <v>232</v>
      </c>
      <c r="U42" s="1" t="s">
        <v>232</v>
      </c>
      <c r="V42" s="1"/>
      <c r="W42" s="1"/>
      <c r="X42" s="1" t="s">
        <v>232</v>
      </c>
      <c r="Y42" s="1" t="s">
        <v>232</v>
      </c>
      <c r="Z42" s="1" t="s">
        <v>232</v>
      </c>
      <c r="AA42" s="1"/>
      <c r="AB42" s="1" t="s">
        <v>232</v>
      </c>
      <c r="AC42" s="1"/>
      <c r="AD42" s="1"/>
      <c r="AE42" s="1" t="s">
        <v>232</v>
      </c>
      <c r="AF42" s="1" t="s">
        <v>232</v>
      </c>
      <c r="AG42" s="1" t="s">
        <v>232</v>
      </c>
      <c r="AH42" s="1" t="s">
        <v>232</v>
      </c>
      <c r="AI42" s="1" t="s">
        <v>232</v>
      </c>
      <c r="AJ42" s="1"/>
      <c r="AK42" s="1" t="s">
        <v>232</v>
      </c>
      <c r="AL42" s="1" t="s">
        <v>232</v>
      </c>
      <c r="AM42" s="1"/>
      <c r="AN42" s="1" t="s">
        <v>232</v>
      </c>
      <c r="AO42" s="1" t="s">
        <v>262</v>
      </c>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2" t="s">
        <v>232</v>
      </c>
    </row>
    <row r="43" ht="15.75" customHeight="1">
      <c r="A43" s="11" t="s">
        <v>234</v>
      </c>
      <c r="B43" s="1">
        <v>55.0</v>
      </c>
      <c r="C43" s="1">
        <v>59.0</v>
      </c>
      <c r="D43" s="1"/>
      <c r="E43" s="1"/>
      <c r="F43" s="1"/>
      <c r="G43" s="1">
        <v>30.0</v>
      </c>
      <c r="H43" s="1">
        <v>57.0</v>
      </c>
      <c r="I43" s="1">
        <v>57.0</v>
      </c>
      <c r="J43" s="1">
        <v>41.0</v>
      </c>
      <c r="K43" s="1">
        <v>47.0</v>
      </c>
      <c r="L43" s="1"/>
      <c r="M43" s="1">
        <v>45.0</v>
      </c>
      <c r="N43" s="1">
        <v>27.0</v>
      </c>
      <c r="O43" s="1">
        <v>23.0</v>
      </c>
      <c r="P43" s="1"/>
      <c r="Q43" s="1">
        <v>55.0</v>
      </c>
      <c r="R43" s="1">
        <v>55.0</v>
      </c>
      <c r="S43" s="1">
        <v>53.0</v>
      </c>
      <c r="T43" s="1">
        <v>56.0</v>
      </c>
      <c r="U43" s="1">
        <v>21.0</v>
      </c>
      <c r="V43" s="1"/>
      <c r="W43" s="1"/>
      <c r="X43" s="1">
        <v>48.0</v>
      </c>
      <c r="Y43" s="1">
        <v>33.0</v>
      </c>
      <c r="Z43" s="1">
        <v>34.0</v>
      </c>
      <c r="AA43" s="1"/>
      <c r="AB43" s="1">
        <v>54.0</v>
      </c>
      <c r="AC43" s="1"/>
      <c r="AD43" s="1"/>
      <c r="AE43" s="1">
        <v>50.0</v>
      </c>
      <c r="AF43" s="1">
        <v>34.0</v>
      </c>
      <c r="AG43" s="1">
        <v>44.0</v>
      </c>
      <c r="AH43" s="1">
        <v>36.0</v>
      </c>
      <c r="AI43" s="1">
        <v>73.0</v>
      </c>
      <c r="AJ43" s="1"/>
      <c r="AK43" s="1">
        <v>56.0</v>
      </c>
      <c r="AL43" s="1">
        <v>60.0</v>
      </c>
      <c r="AM43" s="1"/>
      <c r="AN43" s="1">
        <v>48.0</v>
      </c>
      <c r="AO43" s="1">
        <v>35.0</v>
      </c>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2">
        <v>47.0</v>
      </c>
    </row>
    <row r="44" ht="15.75" customHeight="1">
      <c r="A44" s="11" t="s">
        <v>235</v>
      </c>
      <c r="B44" s="1">
        <v>28.0</v>
      </c>
      <c r="C44" s="1">
        <v>27.0</v>
      </c>
      <c r="D44" s="1"/>
      <c r="E44" s="1"/>
      <c r="F44" s="1"/>
      <c r="G44" s="1">
        <v>17.0</v>
      </c>
      <c r="H44" s="1">
        <v>26.0</v>
      </c>
      <c r="I44" s="1">
        <v>21.0</v>
      </c>
      <c r="J44" s="1">
        <v>24.0</v>
      </c>
      <c r="K44" s="1">
        <v>24.0</v>
      </c>
      <c r="L44" s="1"/>
      <c r="M44" s="1">
        <v>20.0</v>
      </c>
      <c r="N44" s="1">
        <v>11.0</v>
      </c>
      <c r="O44" s="1">
        <v>10.0</v>
      </c>
      <c r="P44" s="1"/>
      <c r="Q44" s="1">
        <v>24.0</v>
      </c>
      <c r="R44" s="1">
        <v>26.0</v>
      </c>
      <c r="S44" s="1">
        <v>20.0</v>
      </c>
      <c r="T44" s="1">
        <v>20.0</v>
      </c>
      <c r="U44" s="1">
        <v>11.0</v>
      </c>
      <c r="V44" s="1"/>
      <c r="W44" s="1"/>
      <c r="X44" s="1">
        <v>11.0</v>
      </c>
      <c r="Y44" s="1">
        <v>18.0</v>
      </c>
      <c r="Z44" s="1">
        <v>14.0</v>
      </c>
      <c r="AA44" s="1"/>
      <c r="AB44" s="1">
        <v>18.0</v>
      </c>
      <c r="AC44" s="1"/>
      <c r="AD44" s="1"/>
      <c r="AE44" s="1">
        <v>28.0</v>
      </c>
      <c r="AF44" s="1">
        <v>23.0</v>
      </c>
      <c r="AG44" s="1">
        <v>17.0</v>
      </c>
      <c r="AH44" s="1">
        <v>16.0</v>
      </c>
      <c r="AI44" s="1">
        <v>26.0</v>
      </c>
      <c r="AJ44" s="1"/>
      <c r="AK44" s="1">
        <v>36.0</v>
      </c>
      <c r="AL44" s="1">
        <v>26.0</v>
      </c>
      <c r="AM44" s="1"/>
      <c r="AN44" s="1">
        <v>22.0</v>
      </c>
      <c r="AO44" s="1">
        <v>15.0</v>
      </c>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2">
        <v>12.0</v>
      </c>
    </row>
    <row r="45" ht="15.75" customHeight="1">
      <c r="A45" s="3" t="s">
        <v>236</v>
      </c>
      <c r="B45" s="2">
        <v>37.0</v>
      </c>
      <c r="C45" s="2">
        <v>44.0</v>
      </c>
      <c r="G45" s="2">
        <v>21.0</v>
      </c>
      <c r="H45" s="2">
        <v>36.0</v>
      </c>
      <c r="I45" s="2">
        <v>34.0</v>
      </c>
      <c r="J45" s="2">
        <v>29.0</v>
      </c>
      <c r="K45" s="2">
        <v>32.0</v>
      </c>
      <c r="M45" s="2">
        <v>28.0</v>
      </c>
      <c r="N45" s="2">
        <v>16.0</v>
      </c>
      <c r="O45" s="2">
        <v>14.0</v>
      </c>
      <c r="Q45" s="2">
        <v>38.0</v>
      </c>
      <c r="R45" s="2">
        <v>36.0</v>
      </c>
      <c r="S45" s="2">
        <v>31.0</v>
      </c>
      <c r="T45" s="2">
        <v>32.0</v>
      </c>
      <c r="U45" s="2">
        <v>14.0</v>
      </c>
      <c r="X45" s="2">
        <v>23.0</v>
      </c>
      <c r="Y45" s="2">
        <v>23.0</v>
      </c>
      <c r="Z45" s="2">
        <v>21.0</v>
      </c>
      <c r="AB45" s="2">
        <v>30.0</v>
      </c>
      <c r="AE45" s="2">
        <v>35.0</v>
      </c>
      <c r="AF45" s="2">
        <v>27.0</v>
      </c>
      <c r="AG45" s="2">
        <v>26.0</v>
      </c>
      <c r="AH45" s="2">
        <v>23.0</v>
      </c>
      <c r="AI45" s="2">
        <v>42.0</v>
      </c>
      <c r="AK45" s="2">
        <v>44.0</v>
      </c>
      <c r="AL45" s="2">
        <v>37.0</v>
      </c>
      <c r="AN45" s="2">
        <v>29.0</v>
      </c>
      <c r="AO45" s="2">
        <v>22.0</v>
      </c>
      <c r="BQ45" s="2">
        <v>26.0</v>
      </c>
    </row>
    <row r="46" ht="15.75" customHeight="1">
      <c r="A46" s="11" t="s">
        <v>237</v>
      </c>
      <c r="B46" s="1">
        <v>23.0</v>
      </c>
      <c r="C46" s="1">
        <v>30.0</v>
      </c>
      <c r="D46" s="1"/>
      <c r="E46" s="1"/>
      <c r="F46" s="1"/>
      <c r="G46" s="1">
        <v>18.0</v>
      </c>
      <c r="H46" s="1">
        <v>26.0</v>
      </c>
      <c r="I46" s="1">
        <v>19.0</v>
      </c>
      <c r="J46" s="1">
        <v>19.0</v>
      </c>
      <c r="K46" s="1">
        <v>19.0</v>
      </c>
      <c r="L46" s="1"/>
      <c r="M46" s="1">
        <v>32.0</v>
      </c>
      <c r="N46" s="1">
        <v>10.0</v>
      </c>
      <c r="O46" s="1">
        <v>9.0</v>
      </c>
      <c r="P46" s="1"/>
      <c r="Q46" s="1">
        <v>26.0</v>
      </c>
      <c r="R46" s="1">
        <v>26.0</v>
      </c>
      <c r="S46" s="1">
        <v>17.0</v>
      </c>
      <c r="T46" s="1">
        <v>20.0</v>
      </c>
      <c r="U46" s="1">
        <v>6.0</v>
      </c>
      <c r="V46" s="1"/>
      <c r="W46" s="1"/>
      <c r="X46" s="1">
        <v>11.0</v>
      </c>
      <c r="Y46" s="1">
        <v>18.0</v>
      </c>
      <c r="Z46" s="1">
        <v>14.0</v>
      </c>
      <c r="AA46" s="1"/>
      <c r="AB46" s="1">
        <v>15.0</v>
      </c>
      <c r="AC46" s="1"/>
      <c r="AD46" s="1"/>
      <c r="AE46" s="1">
        <v>19.0</v>
      </c>
      <c r="AF46" s="1">
        <v>22.0</v>
      </c>
      <c r="AG46" s="1">
        <v>17.0</v>
      </c>
      <c r="AH46" s="1">
        <v>16.0</v>
      </c>
      <c r="AI46" s="1">
        <v>19.0</v>
      </c>
      <c r="AJ46" s="1"/>
      <c r="AK46" s="1">
        <v>26.0</v>
      </c>
      <c r="AL46" s="1">
        <v>18.0</v>
      </c>
      <c r="AM46" s="1"/>
      <c r="AN46" s="1">
        <v>18.0</v>
      </c>
      <c r="AO46" s="1">
        <v>13.0</v>
      </c>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2">
        <v>12.0</v>
      </c>
    </row>
    <row r="47" ht="15.75" customHeight="1">
      <c r="A47" s="3" t="s">
        <v>238</v>
      </c>
      <c r="B47" s="2">
        <f t="shared" ref="B47:BQ47" si="8">(B45-B46)/B52</f>
        <v>3.783783784</v>
      </c>
      <c r="C47" s="2">
        <f t="shared" si="8"/>
        <v>2.333333333</v>
      </c>
      <c r="D47" s="2" t="str">
        <f t="shared" si="8"/>
        <v>#DIV/0!</v>
      </c>
      <c r="E47" s="2" t="str">
        <f t="shared" si="8"/>
        <v>#DIV/0!</v>
      </c>
      <c r="F47" s="2" t="str">
        <f t="shared" si="8"/>
        <v>#DIV/0!</v>
      </c>
      <c r="G47" s="2">
        <f t="shared" si="8"/>
        <v>0.5172413793</v>
      </c>
      <c r="H47" s="2">
        <f t="shared" si="8"/>
        <v>2.222222222</v>
      </c>
      <c r="I47" s="2">
        <f t="shared" si="8"/>
        <v>2.5</v>
      </c>
      <c r="J47" s="2">
        <f t="shared" si="8"/>
        <v>1.754385965</v>
      </c>
      <c r="K47" s="2">
        <f t="shared" si="8"/>
        <v>2.452830189</v>
      </c>
      <c r="L47" s="2" t="str">
        <f t="shared" si="8"/>
        <v>#DIV/0!</v>
      </c>
      <c r="M47" s="2">
        <f t="shared" si="8"/>
        <v>-0.9090909091</v>
      </c>
      <c r="N47" s="2">
        <f t="shared" si="8"/>
        <v>1.176470588</v>
      </c>
      <c r="O47" s="2" t="str">
        <f t="shared" si="8"/>
        <v>#VALUE!</v>
      </c>
      <c r="P47" s="2" t="str">
        <f t="shared" si="8"/>
        <v>#DIV/0!</v>
      </c>
      <c r="Q47" s="2">
        <f t="shared" si="8"/>
        <v>2.307692308</v>
      </c>
      <c r="R47" s="2">
        <f t="shared" si="8"/>
        <v>1.277139208</v>
      </c>
      <c r="S47" s="2">
        <f t="shared" si="8"/>
        <v>3.255813953</v>
      </c>
      <c r="T47" s="2">
        <f t="shared" si="8"/>
        <v>0.1799910004</v>
      </c>
      <c r="U47" s="2">
        <f t="shared" si="8"/>
        <v>1.194029851</v>
      </c>
      <c r="V47" s="2" t="str">
        <f t="shared" si="8"/>
        <v>#DIV/0!</v>
      </c>
      <c r="W47" s="2" t="str">
        <f t="shared" si="8"/>
        <v>#DIV/0!</v>
      </c>
      <c r="X47" s="2">
        <f t="shared" si="8"/>
        <v>1.904761905</v>
      </c>
      <c r="Y47" s="2">
        <f t="shared" si="8"/>
        <v>1.219512195</v>
      </c>
      <c r="Z47" s="2">
        <f t="shared" si="8"/>
        <v>1.044776119</v>
      </c>
      <c r="AA47" s="2" t="str">
        <f t="shared" si="8"/>
        <v>#DIV/0!</v>
      </c>
      <c r="AB47" s="2">
        <f t="shared" si="8"/>
        <v>3.260869565</v>
      </c>
      <c r="AC47" s="2" t="str">
        <f t="shared" si="8"/>
        <v>#DIV/0!</v>
      </c>
      <c r="AD47" s="2" t="str">
        <f t="shared" si="8"/>
        <v>#DIV/0!</v>
      </c>
      <c r="AE47" s="2">
        <f t="shared" si="8"/>
        <v>2.53968254</v>
      </c>
      <c r="AF47" s="2">
        <f t="shared" si="8"/>
        <v>0.8928571429</v>
      </c>
      <c r="AG47" s="2">
        <f t="shared" si="8"/>
        <v>2.368421053</v>
      </c>
      <c r="AH47" s="2">
        <f t="shared" si="8"/>
        <v>1.52173913</v>
      </c>
      <c r="AI47" s="2">
        <f t="shared" si="8"/>
        <v>4.6</v>
      </c>
      <c r="AJ47" s="2" t="str">
        <f t="shared" si="8"/>
        <v>#DIV/0!</v>
      </c>
      <c r="AK47" s="2">
        <f t="shared" si="8"/>
        <v>4.736842105</v>
      </c>
      <c r="AL47" s="2">
        <f t="shared" si="8"/>
        <v>3.392857143</v>
      </c>
      <c r="AM47" s="2" t="str">
        <f t="shared" si="8"/>
        <v>#DIV/0!</v>
      </c>
      <c r="AN47" s="2">
        <f t="shared" si="8"/>
        <v>2.820512821</v>
      </c>
      <c r="AO47" s="2">
        <f t="shared" si="8"/>
        <v>1.384615385</v>
      </c>
      <c r="AP47" s="2" t="str">
        <f t="shared" si="8"/>
        <v>#DIV/0!</v>
      </c>
      <c r="AQ47" s="2" t="str">
        <f t="shared" si="8"/>
        <v>#DIV/0!</v>
      </c>
      <c r="AR47" s="2" t="str">
        <f t="shared" si="8"/>
        <v>#DIV/0!</v>
      </c>
      <c r="AS47" s="2" t="str">
        <f t="shared" si="8"/>
        <v>#DIV/0!</v>
      </c>
      <c r="AT47" s="2" t="str">
        <f t="shared" si="8"/>
        <v>#DIV/0!</v>
      </c>
      <c r="AU47" s="2" t="str">
        <f t="shared" si="8"/>
        <v>#DIV/0!</v>
      </c>
      <c r="AV47" s="2" t="str">
        <f t="shared" si="8"/>
        <v>#DIV/0!</v>
      </c>
      <c r="AW47" s="2" t="str">
        <f t="shared" si="8"/>
        <v>#DIV/0!</v>
      </c>
      <c r="AX47" s="2" t="str">
        <f t="shared" si="8"/>
        <v>#DIV/0!</v>
      </c>
      <c r="AY47" s="2" t="str">
        <f t="shared" si="8"/>
        <v>#DIV/0!</v>
      </c>
      <c r="AZ47" s="2" t="str">
        <f t="shared" si="8"/>
        <v>#DIV/0!</v>
      </c>
      <c r="BA47" s="2" t="str">
        <f t="shared" si="8"/>
        <v>#DIV/0!</v>
      </c>
      <c r="BB47" s="2" t="str">
        <f t="shared" si="8"/>
        <v>#DIV/0!</v>
      </c>
      <c r="BC47" s="2" t="str">
        <f t="shared" si="8"/>
        <v>#DIV/0!</v>
      </c>
      <c r="BD47" s="2" t="str">
        <f t="shared" si="8"/>
        <v>#DIV/0!</v>
      </c>
      <c r="BE47" s="2" t="str">
        <f t="shared" si="8"/>
        <v>#DIV/0!</v>
      </c>
      <c r="BF47" s="2" t="str">
        <f t="shared" si="8"/>
        <v>#DIV/0!</v>
      </c>
      <c r="BG47" s="2" t="str">
        <f t="shared" si="8"/>
        <v>#DIV/0!</v>
      </c>
      <c r="BH47" s="2" t="str">
        <f t="shared" si="8"/>
        <v>#DIV/0!</v>
      </c>
      <c r="BI47" s="2" t="str">
        <f t="shared" si="8"/>
        <v>#DIV/0!</v>
      </c>
      <c r="BJ47" s="2" t="str">
        <f t="shared" si="8"/>
        <v>#DIV/0!</v>
      </c>
      <c r="BK47" s="2" t="str">
        <f t="shared" si="8"/>
        <v>#DIV/0!</v>
      </c>
      <c r="BL47" s="2" t="str">
        <f t="shared" si="8"/>
        <v>#DIV/0!</v>
      </c>
      <c r="BM47" s="2" t="str">
        <f t="shared" si="8"/>
        <v>#DIV/0!</v>
      </c>
      <c r="BN47" s="2" t="str">
        <f t="shared" si="8"/>
        <v>#DIV/0!</v>
      </c>
      <c r="BO47" s="2" t="str">
        <f t="shared" si="8"/>
        <v>#DIV/0!</v>
      </c>
      <c r="BP47" s="2" t="str">
        <f t="shared" si="8"/>
        <v>#DIV/0!</v>
      </c>
      <c r="BQ47" s="2">
        <f t="shared" si="8"/>
        <v>1.971830986</v>
      </c>
    </row>
    <row r="48" ht="15.75" customHeight="1">
      <c r="A48" s="11" t="s">
        <v>239</v>
      </c>
      <c r="B48" s="1">
        <v>120.0</v>
      </c>
      <c r="C48" s="1">
        <v>96.0</v>
      </c>
      <c r="D48" s="1"/>
      <c r="E48" s="1"/>
      <c r="F48" s="1"/>
      <c r="G48" s="1">
        <v>100.0</v>
      </c>
      <c r="H48" s="1">
        <v>96.0</v>
      </c>
      <c r="I48" s="1">
        <v>117.0</v>
      </c>
      <c r="J48" s="1">
        <v>110.0</v>
      </c>
      <c r="K48" s="1">
        <v>85.0</v>
      </c>
      <c r="L48" s="1"/>
      <c r="M48" s="1">
        <v>96.0</v>
      </c>
      <c r="N48" s="1">
        <v>80.0</v>
      </c>
      <c r="O48" s="1">
        <v>60.0</v>
      </c>
      <c r="P48" s="1"/>
      <c r="Q48" s="1">
        <v>102.0</v>
      </c>
      <c r="R48" s="1">
        <v>125.0</v>
      </c>
      <c r="S48" s="1">
        <v>97.0</v>
      </c>
      <c r="T48" s="1">
        <v>154.0</v>
      </c>
      <c r="U48" s="1">
        <v>106.0</v>
      </c>
      <c r="V48" s="1"/>
      <c r="W48" s="1"/>
      <c r="X48" s="1">
        <v>82.0</v>
      </c>
      <c r="Y48" s="1">
        <v>89.0</v>
      </c>
      <c r="Z48" s="1">
        <v>108.0</v>
      </c>
      <c r="AA48" s="1"/>
      <c r="AB48" s="1">
        <v>120.0</v>
      </c>
      <c r="AC48" s="1"/>
      <c r="AD48" s="1"/>
      <c r="AE48" s="1">
        <v>104.0</v>
      </c>
      <c r="AF48" s="1">
        <v>92.0</v>
      </c>
      <c r="AG48" s="1">
        <v>88.0</v>
      </c>
      <c r="AH48" s="1">
        <v>127.0</v>
      </c>
      <c r="AI48" s="1">
        <v>74.0</v>
      </c>
      <c r="AJ48" s="1"/>
      <c r="AK48" s="1">
        <v>101.0</v>
      </c>
      <c r="AL48" s="1">
        <v>113.0</v>
      </c>
      <c r="AM48" s="1"/>
      <c r="AN48" s="1">
        <v>106.0</v>
      </c>
      <c r="AO48" s="1">
        <v>101.0</v>
      </c>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2">
        <v>114.0</v>
      </c>
    </row>
    <row r="49" ht="15.75" customHeight="1">
      <c r="A49" s="11" t="s">
        <v>240</v>
      </c>
      <c r="B49" s="1">
        <v>83.0</v>
      </c>
      <c r="C49" s="1">
        <v>76.0</v>
      </c>
      <c r="D49" s="1"/>
      <c r="E49" s="1"/>
      <c r="F49" s="1"/>
      <c r="G49" s="1">
        <v>80.0</v>
      </c>
      <c r="H49" s="1">
        <v>68.0</v>
      </c>
      <c r="I49" s="1">
        <v>79.0</v>
      </c>
      <c r="J49" s="1">
        <v>79.0</v>
      </c>
      <c r="K49" s="1">
        <v>62.0</v>
      </c>
      <c r="L49" s="1"/>
      <c r="M49" s="1">
        <v>76.0</v>
      </c>
      <c r="N49" s="1">
        <v>68.0</v>
      </c>
      <c r="O49" s="1">
        <v>59.0</v>
      </c>
      <c r="P49" s="1"/>
      <c r="Q49" s="1">
        <v>90.0</v>
      </c>
      <c r="R49" s="1">
        <v>68.0</v>
      </c>
      <c r="S49" s="1">
        <v>80.0</v>
      </c>
      <c r="T49" s="1">
        <v>76.0</v>
      </c>
      <c r="U49" s="1">
        <v>64.0</v>
      </c>
      <c r="V49" s="1"/>
      <c r="W49" s="1"/>
      <c r="X49" s="1">
        <v>50.0</v>
      </c>
      <c r="Y49" s="1">
        <v>65.0</v>
      </c>
      <c r="Z49" s="1">
        <v>61.0</v>
      </c>
      <c r="AA49" s="1"/>
      <c r="AB49" s="1">
        <v>67.0</v>
      </c>
      <c r="AC49" s="1"/>
      <c r="AD49" s="1"/>
      <c r="AE49" s="1">
        <v>79.0</v>
      </c>
      <c r="AF49" s="1">
        <v>65.0</v>
      </c>
      <c r="AG49" s="1">
        <v>78.0</v>
      </c>
      <c r="AH49" s="1">
        <v>61.0</v>
      </c>
      <c r="AI49" s="1">
        <v>48.0</v>
      </c>
      <c r="AJ49" s="1"/>
      <c r="AK49" s="1">
        <v>76.0</v>
      </c>
      <c r="AL49" s="1">
        <v>76.0</v>
      </c>
      <c r="AM49" s="1"/>
      <c r="AN49" s="1">
        <v>60.0</v>
      </c>
      <c r="AO49" s="1">
        <v>69.0</v>
      </c>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2">
        <v>71.0</v>
      </c>
    </row>
    <row r="50" ht="15.75" customHeight="1">
      <c r="A50" s="3" t="s">
        <v>241</v>
      </c>
      <c r="B50" s="1">
        <f t="shared" ref="B50:BQ50" si="9">((2/3)*B49+(1/3)*B48)</f>
        <v>95.33333333</v>
      </c>
      <c r="C50" s="1">
        <f t="shared" si="9"/>
        <v>82.66666667</v>
      </c>
      <c r="D50" s="1">
        <f t="shared" si="9"/>
        <v>0</v>
      </c>
      <c r="E50" s="1">
        <f t="shared" si="9"/>
        <v>0</v>
      </c>
      <c r="F50" s="1">
        <f t="shared" si="9"/>
        <v>0</v>
      </c>
      <c r="G50" s="1">
        <f t="shared" si="9"/>
        <v>86.66666667</v>
      </c>
      <c r="H50" s="1">
        <f t="shared" si="9"/>
        <v>77.33333333</v>
      </c>
      <c r="I50" s="1">
        <f t="shared" si="9"/>
        <v>91.66666667</v>
      </c>
      <c r="J50" s="1">
        <f t="shared" si="9"/>
        <v>89.33333333</v>
      </c>
      <c r="K50" s="1">
        <f t="shared" si="9"/>
        <v>69.66666667</v>
      </c>
      <c r="L50" s="1">
        <f t="shared" si="9"/>
        <v>0</v>
      </c>
      <c r="M50" s="1">
        <f t="shared" si="9"/>
        <v>82.66666667</v>
      </c>
      <c r="N50" s="1">
        <f t="shared" si="9"/>
        <v>72</v>
      </c>
      <c r="O50" s="1">
        <f t="shared" si="9"/>
        <v>59.33333333</v>
      </c>
      <c r="P50" s="1">
        <f t="shared" si="9"/>
        <v>0</v>
      </c>
      <c r="Q50" s="1">
        <f t="shared" si="9"/>
        <v>94</v>
      </c>
      <c r="R50" s="1">
        <f t="shared" si="9"/>
        <v>87</v>
      </c>
      <c r="S50" s="1">
        <f t="shared" si="9"/>
        <v>85.66666667</v>
      </c>
      <c r="T50" s="1">
        <f t="shared" si="9"/>
        <v>102</v>
      </c>
      <c r="U50" s="1">
        <f t="shared" si="9"/>
        <v>78</v>
      </c>
      <c r="V50" s="1">
        <f t="shared" si="9"/>
        <v>0</v>
      </c>
      <c r="W50" s="1">
        <f t="shared" si="9"/>
        <v>0</v>
      </c>
      <c r="X50" s="1">
        <f t="shared" si="9"/>
        <v>60.66666667</v>
      </c>
      <c r="Y50" s="1">
        <f t="shared" si="9"/>
        <v>73</v>
      </c>
      <c r="Z50" s="1">
        <f t="shared" si="9"/>
        <v>76.66666667</v>
      </c>
      <c r="AA50" s="1">
        <f t="shared" si="9"/>
        <v>0</v>
      </c>
      <c r="AB50" s="1">
        <f t="shared" si="9"/>
        <v>84.66666667</v>
      </c>
      <c r="AC50" s="1">
        <f t="shared" si="9"/>
        <v>0</v>
      </c>
      <c r="AD50" s="1">
        <f t="shared" si="9"/>
        <v>0</v>
      </c>
      <c r="AE50" s="1">
        <f t="shared" si="9"/>
        <v>87.33333333</v>
      </c>
      <c r="AF50" s="1">
        <f t="shared" si="9"/>
        <v>74</v>
      </c>
      <c r="AG50" s="1">
        <f t="shared" si="9"/>
        <v>81.33333333</v>
      </c>
      <c r="AH50" s="1">
        <f t="shared" si="9"/>
        <v>83</v>
      </c>
      <c r="AI50" s="1">
        <f t="shared" si="9"/>
        <v>56.66666667</v>
      </c>
      <c r="AJ50" s="1">
        <f t="shared" si="9"/>
        <v>0</v>
      </c>
      <c r="AK50" s="1">
        <f t="shared" si="9"/>
        <v>84.33333333</v>
      </c>
      <c r="AL50" s="1">
        <f t="shared" si="9"/>
        <v>88.33333333</v>
      </c>
      <c r="AM50" s="1">
        <f t="shared" si="9"/>
        <v>0</v>
      </c>
      <c r="AN50" s="1">
        <f t="shared" si="9"/>
        <v>75.33333333</v>
      </c>
      <c r="AO50" s="1">
        <f t="shared" si="9"/>
        <v>79.66666667</v>
      </c>
      <c r="AP50" s="1">
        <f t="shared" si="9"/>
        <v>0</v>
      </c>
      <c r="AQ50" s="1">
        <f t="shared" si="9"/>
        <v>0</v>
      </c>
      <c r="AR50" s="1">
        <f t="shared" si="9"/>
        <v>0</v>
      </c>
      <c r="AS50" s="1">
        <f t="shared" si="9"/>
        <v>0</v>
      </c>
      <c r="AT50" s="1">
        <f t="shared" si="9"/>
        <v>0</v>
      </c>
      <c r="AU50" s="1">
        <f t="shared" si="9"/>
        <v>0</v>
      </c>
      <c r="AV50" s="1">
        <f t="shared" si="9"/>
        <v>0</v>
      </c>
      <c r="AW50" s="1">
        <f t="shared" si="9"/>
        <v>0</v>
      </c>
      <c r="AX50" s="1">
        <f t="shared" si="9"/>
        <v>0</v>
      </c>
      <c r="AY50" s="1">
        <f t="shared" si="9"/>
        <v>0</v>
      </c>
      <c r="AZ50" s="1">
        <f t="shared" si="9"/>
        <v>0</v>
      </c>
      <c r="BA50" s="1">
        <f t="shared" si="9"/>
        <v>0</v>
      </c>
      <c r="BB50" s="1">
        <f t="shared" si="9"/>
        <v>0</v>
      </c>
      <c r="BC50" s="1">
        <f t="shared" si="9"/>
        <v>0</v>
      </c>
      <c r="BD50" s="1">
        <f t="shared" si="9"/>
        <v>0</v>
      </c>
      <c r="BE50" s="1">
        <f t="shared" si="9"/>
        <v>0</v>
      </c>
      <c r="BF50" s="1">
        <f t="shared" si="9"/>
        <v>0</v>
      </c>
      <c r="BG50" s="1">
        <f t="shared" si="9"/>
        <v>0</v>
      </c>
      <c r="BH50" s="1">
        <f t="shared" si="9"/>
        <v>0</v>
      </c>
      <c r="BI50" s="1">
        <f t="shared" si="9"/>
        <v>0</v>
      </c>
      <c r="BJ50" s="1">
        <f t="shared" si="9"/>
        <v>0</v>
      </c>
      <c r="BK50" s="1">
        <f t="shared" si="9"/>
        <v>0</v>
      </c>
      <c r="BL50" s="1">
        <f t="shared" si="9"/>
        <v>0</v>
      </c>
      <c r="BM50" s="1">
        <f t="shared" si="9"/>
        <v>0</v>
      </c>
      <c r="BN50" s="1">
        <f t="shared" si="9"/>
        <v>0</v>
      </c>
      <c r="BO50" s="1">
        <f t="shared" si="9"/>
        <v>0</v>
      </c>
      <c r="BP50" s="1">
        <f t="shared" si="9"/>
        <v>0</v>
      </c>
      <c r="BQ50" s="1">
        <f t="shared" si="9"/>
        <v>85.33333333</v>
      </c>
    </row>
    <row r="51" ht="15.75" customHeight="1">
      <c r="A51" s="11" t="s">
        <v>242</v>
      </c>
      <c r="B51" s="1">
        <v>94.0</v>
      </c>
      <c r="C51" s="1">
        <v>116.0</v>
      </c>
      <c r="D51" s="1"/>
      <c r="E51" s="1"/>
      <c r="F51" s="1"/>
      <c r="G51" s="1">
        <v>114.0</v>
      </c>
      <c r="H51" s="1">
        <v>125.0</v>
      </c>
      <c r="I51" s="1">
        <v>108.0</v>
      </c>
      <c r="J51" s="1">
        <v>80.0</v>
      </c>
      <c r="K51" s="1">
        <v>99.0</v>
      </c>
      <c r="L51" s="1"/>
      <c r="M51" s="1">
        <v>84.0</v>
      </c>
      <c r="N51" s="1">
        <v>74.0</v>
      </c>
      <c r="O51" s="1">
        <v>62.0</v>
      </c>
      <c r="P51" s="1"/>
      <c r="Q51" s="1">
        <v>80.0</v>
      </c>
      <c r="R51" s="1">
        <v>88.0</v>
      </c>
      <c r="S51" s="1">
        <v>80.0</v>
      </c>
      <c r="T51" s="1">
        <v>86.0</v>
      </c>
      <c r="U51" s="1">
        <v>60.0</v>
      </c>
      <c r="V51" s="1"/>
      <c r="W51" s="1"/>
      <c r="X51" s="1">
        <v>105.0</v>
      </c>
      <c r="Y51" s="1">
        <v>87.0</v>
      </c>
      <c r="Z51" s="1">
        <v>110.0</v>
      </c>
      <c r="AA51" s="1"/>
      <c r="AB51" s="1">
        <v>77.0</v>
      </c>
      <c r="AC51" s="1"/>
      <c r="AD51" s="1"/>
      <c r="AE51" s="1">
        <v>116.0</v>
      </c>
      <c r="AF51" s="1">
        <v>104.0</v>
      </c>
      <c r="AG51" s="1">
        <v>58.0</v>
      </c>
      <c r="AH51" s="1">
        <v>90.0</v>
      </c>
      <c r="AI51" s="1">
        <v>80.0</v>
      </c>
      <c r="AJ51" s="1"/>
      <c r="AK51" s="1">
        <v>80.0</v>
      </c>
      <c r="AL51" s="1">
        <v>80.0</v>
      </c>
      <c r="AM51" s="1"/>
      <c r="AN51" s="1">
        <v>54.0</v>
      </c>
      <c r="AO51" s="1">
        <v>96.0</v>
      </c>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2">
        <v>122.0</v>
      </c>
    </row>
    <row r="52" ht="15.75" customHeight="1">
      <c r="A52" s="11" t="s">
        <v>243</v>
      </c>
      <c r="B52" s="1">
        <v>3.7</v>
      </c>
      <c r="C52" s="1">
        <v>6.0</v>
      </c>
      <c r="D52" s="1"/>
      <c r="E52" s="1"/>
      <c r="F52" s="1"/>
      <c r="G52" s="1">
        <v>5.8</v>
      </c>
      <c r="H52" s="1">
        <v>4.5</v>
      </c>
      <c r="I52" s="1">
        <v>6.0</v>
      </c>
      <c r="J52" s="1">
        <v>5.7</v>
      </c>
      <c r="K52" s="1">
        <v>5.3</v>
      </c>
      <c r="L52" s="1"/>
      <c r="M52" s="1">
        <v>4.4</v>
      </c>
      <c r="N52" s="1">
        <v>5.1</v>
      </c>
      <c r="O52" s="1" t="s">
        <v>232</v>
      </c>
      <c r="P52" s="1"/>
      <c r="Q52" s="1">
        <v>5.2</v>
      </c>
      <c r="R52" s="1">
        <v>7.83</v>
      </c>
      <c r="S52" s="1">
        <v>4.3</v>
      </c>
      <c r="T52" s="1">
        <v>66.67</v>
      </c>
      <c r="U52" s="1">
        <v>6.7</v>
      </c>
      <c r="V52" s="1"/>
      <c r="W52" s="1"/>
      <c r="X52" s="1">
        <v>6.3</v>
      </c>
      <c r="Y52" s="1">
        <v>4.1</v>
      </c>
      <c r="Z52" s="1">
        <v>6.7</v>
      </c>
      <c r="AA52" s="1"/>
      <c r="AB52" s="1">
        <v>4.6</v>
      </c>
      <c r="AC52" s="1"/>
      <c r="AD52" s="1"/>
      <c r="AE52" s="1">
        <v>6.3</v>
      </c>
      <c r="AF52" s="1">
        <v>5.6</v>
      </c>
      <c r="AG52" s="1">
        <v>3.8</v>
      </c>
      <c r="AH52" s="1">
        <v>4.6</v>
      </c>
      <c r="AI52" s="1">
        <v>5.0</v>
      </c>
      <c r="AJ52" s="1"/>
      <c r="AK52" s="1">
        <v>3.8</v>
      </c>
      <c r="AL52" s="1">
        <v>5.6</v>
      </c>
      <c r="AM52" s="1"/>
      <c r="AN52" s="1">
        <v>3.9</v>
      </c>
      <c r="AO52" s="1">
        <v>6.5</v>
      </c>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2">
        <v>7.1</v>
      </c>
    </row>
    <row r="53" ht="15.75" customHeight="1">
      <c r="A53" s="3" t="s">
        <v>244</v>
      </c>
      <c r="B53" s="1">
        <f t="shared" ref="B53:BQ53" si="10">B52/B51</f>
        <v>0.03936170213</v>
      </c>
      <c r="C53" s="1">
        <f t="shared" si="10"/>
        <v>0.05172413793</v>
      </c>
      <c r="D53" s="1" t="str">
        <f t="shared" si="10"/>
        <v>#DIV/0!</v>
      </c>
      <c r="E53" s="1" t="str">
        <f t="shared" si="10"/>
        <v>#DIV/0!</v>
      </c>
      <c r="F53" s="1" t="str">
        <f t="shared" si="10"/>
        <v>#DIV/0!</v>
      </c>
      <c r="G53" s="1">
        <f t="shared" si="10"/>
        <v>0.05087719298</v>
      </c>
      <c r="H53" s="1">
        <f t="shared" si="10"/>
        <v>0.036</v>
      </c>
      <c r="I53" s="1">
        <f t="shared" si="10"/>
        <v>0.05555555556</v>
      </c>
      <c r="J53" s="1">
        <f t="shared" si="10"/>
        <v>0.07125</v>
      </c>
      <c r="K53" s="1">
        <f t="shared" si="10"/>
        <v>0.05353535354</v>
      </c>
      <c r="L53" s="1" t="str">
        <f t="shared" si="10"/>
        <v>#DIV/0!</v>
      </c>
      <c r="M53" s="1">
        <f t="shared" si="10"/>
        <v>0.05238095238</v>
      </c>
      <c r="N53" s="1">
        <f t="shared" si="10"/>
        <v>0.06891891892</v>
      </c>
      <c r="O53" s="1" t="str">
        <f t="shared" si="10"/>
        <v>#VALUE!</v>
      </c>
      <c r="P53" s="1" t="str">
        <f t="shared" si="10"/>
        <v>#DIV/0!</v>
      </c>
      <c r="Q53" s="1">
        <f t="shared" si="10"/>
        <v>0.065</v>
      </c>
      <c r="R53" s="1">
        <f t="shared" si="10"/>
        <v>0.08897727273</v>
      </c>
      <c r="S53" s="1">
        <f t="shared" si="10"/>
        <v>0.05375</v>
      </c>
      <c r="T53" s="1">
        <f t="shared" si="10"/>
        <v>0.7752325581</v>
      </c>
      <c r="U53" s="1">
        <f t="shared" si="10"/>
        <v>0.1116666667</v>
      </c>
      <c r="V53" s="1" t="str">
        <f t="shared" si="10"/>
        <v>#DIV/0!</v>
      </c>
      <c r="W53" s="1" t="str">
        <f t="shared" si="10"/>
        <v>#DIV/0!</v>
      </c>
      <c r="X53" s="1">
        <f t="shared" si="10"/>
        <v>0.06</v>
      </c>
      <c r="Y53" s="1">
        <f t="shared" si="10"/>
        <v>0.04712643678</v>
      </c>
      <c r="Z53" s="1">
        <f t="shared" si="10"/>
        <v>0.06090909091</v>
      </c>
      <c r="AA53" s="1" t="str">
        <f t="shared" si="10"/>
        <v>#DIV/0!</v>
      </c>
      <c r="AB53" s="1">
        <f t="shared" si="10"/>
        <v>0.05974025974</v>
      </c>
      <c r="AC53" s="1" t="str">
        <f t="shared" si="10"/>
        <v>#DIV/0!</v>
      </c>
      <c r="AD53" s="1" t="str">
        <f t="shared" si="10"/>
        <v>#DIV/0!</v>
      </c>
      <c r="AE53" s="1">
        <f t="shared" si="10"/>
        <v>0.05431034483</v>
      </c>
      <c r="AF53" s="1">
        <f t="shared" si="10"/>
        <v>0.05384615385</v>
      </c>
      <c r="AG53" s="1">
        <f t="shared" si="10"/>
        <v>0.06551724138</v>
      </c>
      <c r="AH53" s="1">
        <f t="shared" si="10"/>
        <v>0.05111111111</v>
      </c>
      <c r="AI53" s="1">
        <f t="shared" si="10"/>
        <v>0.0625</v>
      </c>
      <c r="AJ53" s="1" t="str">
        <f t="shared" si="10"/>
        <v>#DIV/0!</v>
      </c>
      <c r="AK53" s="1">
        <f t="shared" si="10"/>
        <v>0.0475</v>
      </c>
      <c r="AL53" s="1">
        <f t="shared" si="10"/>
        <v>0.07</v>
      </c>
      <c r="AM53" s="1" t="str">
        <f t="shared" si="10"/>
        <v>#DIV/0!</v>
      </c>
      <c r="AN53" s="1">
        <f t="shared" si="10"/>
        <v>0.07222222222</v>
      </c>
      <c r="AO53" s="1">
        <f t="shared" si="10"/>
        <v>0.06770833333</v>
      </c>
      <c r="AP53" s="1" t="str">
        <f t="shared" si="10"/>
        <v>#DIV/0!</v>
      </c>
      <c r="AQ53" s="1" t="str">
        <f t="shared" si="10"/>
        <v>#DIV/0!</v>
      </c>
      <c r="AR53" s="1" t="str">
        <f t="shared" si="10"/>
        <v>#DIV/0!</v>
      </c>
      <c r="AS53" s="1" t="str">
        <f t="shared" si="10"/>
        <v>#DIV/0!</v>
      </c>
      <c r="AT53" s="1" t="str">
        <f t="shared" si="10"/>
        <v>#DIV/0!</v>
      </c>
      <c r="AU53" s="1" t="str">
        <f t="shared" si="10"/>
        <v>#DIV/0!</v>
      </c>
      <c r="AV53" s="1" t="str">
        <f t="shared" si="10"/>
        <v>#DIV/0!</v>
      </c>
      <c r="AW53" s="1" t="str">
        <f t="shared" si="10"/>
        <v>#DIV/0!</v>
      </c>
      <c r="AX53" s="1" t="str">
        <f t="shared" si="10"/>
        <v>#DIV/0!</v>
      </c>
      <c r="AY53" s="1" t="str">
        <f t="shared" si="10"/>
        <v>#DIV/0!</v>
      </c>
      <c r="AZ53" s="1" t="str">
        <f t="shared" si="10"/>
        <v>#DIV/0!</v>
      </c>
      <c r="BA53" s="1" t="str">
        <f t="shared" si="10"/>
        <v>#DIV/0!</v>
      </c>
      <c r="BB53" s="1" t="str">
        <f t="shared" si="10"/>
        <v>#DIV/0!</v>
      </c>
      <c r="BC53" s="1" t="str">
        <f t="shared" si="10"/>
        <v>#DIV/0!</v>
      </c>
      <c r="BD53" s="1" t="str">
        <f t="shared" si="10"/>
        <v>#DIV/0!</v>
      </c>
      <c r="BE53" s="1" t="str">
        <f t="shared" si="10"/>
        <v>#DIV/0!</v>
      </c>
      <c r="BF53" s="1" t="str">
        <f t="shared" si="10"/>
        <v>#DIV/0!</v>
      </c>
      <c r="BG53" s="1" t="str">
        <f t="shared" si="10"/>
        <v>#DIV/0!</v>
      </c>
      <c r="BH53" s="1" t="str">
        <f t="shared" si="10"/>
        <v>#DIV/0!</v>
      </c>
      <c r="BI53" s="1" t="str">
        <f t="shared" si="10"/>
        <v>#DIV/0!</v>
      </c>
      <c r="BJ53" s="1" t="str">
        <f t="shared" si="10"/>
        <v>#DIV/0!</v>
      </c>
      <c r="BK53" s="1" t="str">
        <f t="shared" si="10"/>
        <v>#DIV/0!</v>
      </c>
      <c r="BL53" s="1" t="str">
        <f t="shared" si="10"/>
        <v>#DIV/0!</v>
      </c>
      <c r="BM53" s="1" t="str">
        <f t="shared" si="10"/>
        <v>#DIV/0!</v>
      </c>
      <c r="BN53" s="1" t="str">
        <f t="shared" si="10"/>
        <v>#DIV/0!</v>
      </c>
      <c r="BO53" s="1" t="str">
        <f t="shared" si="10"/>
        <v>#DIV/0!</v>
      </c>
      <c r="BP53" s="1" t="str">
        <f t="shared" si="10"/>
        <v>#DIV/0!</v>
      </c>
      <c r="BQ53" s="1">
        <f t="shared" si="10"/>
        <v>0.05819672131</v>
      </c>
    </row>
    <row r="54" ht="15.75" customHeight="1">
      <c r="A54" s="11" t="s">
        <v>245</v>
      </c>
      <c r="B54" s="1">
        <v>73.8</v>
      </c>
      <c r="C54" s="1">
        <v>63.8</v>
      </c>
      <c r="D54" s="1"/>
      <c r="E54" s="1"/>
      <c r="F54" s="1"/>
      <c r="G54" s="1">
        <v>63.7</v>
      </c>
      <c r="H54" s="1">
        <v>65.0</v>
      </c>
      <c r="I54" s="1">
        <v>70.0</v>
      </c>
      <c r="J54" s="1">
        <v>72.0</v>
      </c>
      <c r="K54" s="1">
        <v>74.5</v>
      </c>
      <c r="L54" s="10"/>
      <c r="M54" s="10">
        <v>71.0</v>
      </c>
      <c r="N54" s="1">
        <v>65.7</v>
      </c>
      <c r="O54" s="10">
        <v>84.3</v>
      </c>
      <c r="P54" s="1"/>
      <c r="Q54" s="1">
        <v>68.2</v>
      </c>
      <c r="R54" s="1">
        <v>66.2</v>
      </c>
      <c r="S54" s="1">
        <v>59.0</v>
      </c>
      <c r="T54" s="1">
        <v>63.2</v>
      </c>
      <c r="U54" s="1"/>
      <c r="V54" s="1"/>
      <c r="W54" s="1"/>
      <c r="X54" s="1"/>
      <c r="Y54" s="1">
        <v>64.4</v>
      </c>
      <c r="Z54" s="1"/>
      <c r="AA54" s="1"/>
      <c r="AB54" s="1">
        <v>65.8</v>
      </c>
      <c r="AC54" s="1"/>
      <c r="AD54" s="1"/>
      <c r="AE54" s="1"/>
      <c r="AF54" s="1">
        <v>65.1</v>
      </c>
      <c r="AG54" s="1">
        <v>60.5</v>
      </c>
      <c r="AH54" s="2">
        <v>62.0</v>
      </c>
      <c r="AI54" s="1"/>
      <c r="AJ54" s="1"/>
      <c r="AK54" s="1">
        <v>63.0</v>
      </c>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2">
        <v>53.0</v>
      </c>
    </row>
    <row r="55" ht="15.75" customHeight="1">
      <c r="A55" s="11" t="s">
        <v>246</v>
      </c>
      <c r="B55" s="1">
        <v>100.0</v>
      </c>
      <c r="C55" s="1">
        <v>98.0</v>
      </c>
      <c r="D55" s="1"/>
      <c r="E55" s="1"/>
      <c r="F55" s="1"/>
      <c r="G55" s="1">
        <v>95.0</v>
      </c>
      <c r="H55" s="1">
        <v>98.0</v>
      </c>
      <c r="I55" s="1">
        <v>99.0</v>
      </c>
      <c r="J55" s="1">
        <v>97.0</v>
      </c>
      <c r="K55" s="1">
        <v>95.0</v>
      </c>
      <c r="L55" s="1"/>
      <c r="M55" s="1">
        <v>99.0</v>
      </c>
      <c r="N55" s="1">
        <v>100.0</v>
      </c>
      <c r="O55" s="1">
        <v>97.0</v>
      </c>
      <c r="P55" s="1"/>
      <c r="Q55" s="1">
        <v>97.0</v>
      </c>
      <c r="R55" s="1">
        <v>95.0</v>
      </c>
      <c r="S55" s="1">
        <v>99.0</v>
      </c>
      <c r="T55" s="1">
        <v>98.0</v>
      </c>
      <c r="U55" s="1">
        <v>98.0</v>
      </c>
      <c r="V55" s="1"/>
      <c r="W55" s="1"/>
      <c r="X55" s="1">
        <v>98.0</v>
      </c>
      <c r="Y55" s="1">
        <v>95.0</v>
      </c>
      <c r="Z55" s="1">
        <v>97.0</v>
      </c>
      <c r="AA55" s="1"/>
      <c r="AB55" s="1">
        <v>98.0</v>
      </c>
      <c r="AC55" s="1"/>
      <c r="AD55" s="1"/>
      <c r="AE55" s="1">
        <v>96.0</v>
      </c>
      <c r="AF55" s="1">
        <v>96.0</v>
      </c>
      <c r="AG55" s="1">
        <v>98.0</v>
      </c>
      <c r="AH55" s="1">
        <v>99.0</v>
      </c>
      <c r="AI55" s="1"/>
      <c r="AJ55" s="1"/>
      <c r="AK55" s="1">
        <v>98.0</v>
      </c>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2">
        <v>98.0</v>
      </c>
    </row>
    <row r="56" ht="15.75" customHeight="1">
      <c r="A56" s="2" t="s">
        <v>247</v>
      </c>
      <c r="B56" s="1">
        <f t="shared" ref="B56:BQ56" si="11">(B43-B44)/B40</f>
        <v>3.857142857</v>
      </c>
      <c r="C56" s="1">
        <f t="shared" si="11"/>
        <v>1.777777778</v>
      </c>
      <c r="D56" s="1" t="str">
        <f t="shared" si="11"/>
        <v>#DIV/0!</v>
      </c>
      <c r="E56" s="1">
        <f t="shared" si="11"/>
        <v>0</v>
      </c>
      <c r="F56" s="1" t="str">
        <f t="shared" si="11"/>
        <v>#DIV/0!</v>
      </c>
      <c r="G56" s="1">
        <f t="shared" si="11"/>
        <v>1.3</v>
      </c>
      <c r="H56" s="1">
        <f t="shared" si="11"/>
        <v>4.428571429</v>
      </c>
      <c r="I56" s="1">
        <f t="shared" si="11"/>
        <v>7.2</v>
      </c>
      <c r="J56" s="1">
        <f t="shared" si="11"/>
        <v>2.428571429</v>
      </c>
      <c r="K56" s="1">
        <f t="shared" si="11"/>
        <v>1.642857143</v>
      </c>
      <c r="L56" s="1" t="str">
        <f t="shared" si="11"/>
        <v>#DIV/0!</v>
      </c>
      <c r="M56" s="1">
        <f t="shared" si="11"/>
        <v>1.666666667</v>
      </c>
      <c r="N56" s="1">
        <f t="shared" si="11"/>
        <v>2</v>
      </c>
      <c r="O56" s="1">
        <f t="shared" si="11"/>
        <v>0.8666666667</v>
      </c>
      <c r="P56" s="1" t="str">
        <f t="shared" si="11"/>
        <v>#DIV/0!</v>
      </c>
      <c r="Q56" s="1">
        <f t="shared" si="11"/>
        <v>2.384615385</v>
      </c>
      <c r="R56" s="1">
        <f t="shared" si="11"/>
        <v>4.833333333</v>
      </c>
      <c r="S56" s="1">
        <f t="shared" si="11"/>
        <v>1.941176471</v>
      </c>
      <c r="T56" s="1">
        <f t="shared" si="11"/>
        <v>4</v>
      </c>
      <c r="U56" s="1">
        <f t="shared" si="11"/>
        <v>3.333333333</v>
      </c>
      <c r="V56" s="1" t="str">
        <f t="shared" si="11"/>
        <v>#DIV/0!</v>
      </c>
      <c r="W56" s="1" t="str">
        <f t="shared" si="11"/>
        <v>#DIV/0!</v>
      </c>
      <c r="X56" s="1">
        <f t="shared" si="11"/>
        <v>9.25</v>
      </c>
      <c r="Y56" s="1">
        <f t="shared" si="11"/>
        <v>1.071428571</v>
      </c>
      <c r="Z56" s="1">
        <f t="shared" si="11"/>
        <v>3.333333333</v>
      </c>
      <c r="AA56" s="1" t="str">
        <f t="shared" si="11"/>
        <v>#DIV/0!</v>
      </c>
      <c r="AB56" s="1">
        <f t="shared" si="11"/>
        <v>3.272727273</v>
      </c>
      <c r="AC56" s="1" t="str">
        <f t="shared" si="11"/>
        <v>#DIV/0!</v>
      </c>
      <c r="AD56" s="1" t="str">
        <f t="shared" si="11"/>
        <v>#DIV/0!</v>
      </c>
      <c r="AE56" s="1">
        <f t="shared" si="11"/>
        <v>3.142857143</v>
      </c>
      <c r="AF56" s="1">
        <f t="shared" si="11"/>
        <v>1.222222222</v>
      </c>
      <c r="AG56" s="1">
        <f t="shared" si="11"/>
        <v>1.5</v>
      </c>
      <c r="AH56" s="1">
        <f t="shared" si="11"/>
        <v>1.428571429</v>
      </c>
      <c r="AI56" s="1">
        <f t="shared" si="11"/>
        <v>4.272727273</v>
      </c>
      <c r="AJ56" s="1" t="str">
        <f t="shared" si="11"/>
        <v>#DIV/0!</v>
      </c>
      <c r="AK56" s="1">
        <f t="shared" si="11"/>
        <v>0.7407407407</v>
      </c>
      <c r="AL56" s="1">
        <f t="shared" si="11"/>
        <v>3.4</v>
      </c>
      <c r="AM56" s="1" t="str">
        <f t="shared" si="11"/>
        <v>#DIV/0!</v>
      </c>
      <c r="AN56" s="1">
        <f t="shared" si="11"/>
        <v>2.166666667</v>
      </c>
      <c r="AO56" s="1">
        <f t="shared" si="11"/>
        <v>5</v>
      </c>
      <c r="AP56" s="1" t="str">
        <f t="shared" si="11"/>
        <v>#DIV/0!</v>
      </c>
      <c r="AQ56" s="1" t="str">
        <f t="shared" si="11"/>
        <v>#DIV/0!</v>
      </c>
      <c r="AR56" s="1" t="str">
        <f t="shared" si="11"/>
        <v>#DIV/0!</v>
      </c>
      <c r="AS56" s="1" t="str">
        <f t="shared" si="11"/>
        <v>#DIV/0!</v>
      </c>
      <c r="AT56" s="1" t="str">
        <f t="shared" si="11"/>
        <v>#DIV/0!</v>
      </c>
      <c r="AU56" s="1" t="str">
        <f t="shared" si="11"/>
        <v>#DIV/0!</v>
      </c>
      <c r="AV56" s="1" t="str">
        <f t="shared" si="11"/>
        <v>#DIV/0!</v>
      </c>
      <c r="AW56" s="1" t="str">
        <f t="shared" si="11"/>
        <v>#DIV/0!</v>
      </c>
      <c r="AX56" s="1" t="str">
        <f t="shared" si="11"/>
        <v>#DIV/0!</v>
      </c>
      <c r="AY56" s="1" t="str">
        <f t="shared" si="11"/>
        <v>#DIV/0!</v>
      </c>
      <c r="AZ56" s="1" t="str">
        <f t="shared" si="11"/>
        <v>#DIV/0!</v>
      </c>
      <c r="BA56" s="1" t="str">
        <f t="shared" si="11"/>
        <v>#DIV/0!</v>
      </c>
      <c r="BB56" s="1" t="str">
        <f t="shared" si="11"/>
        <v>#DIV/0!</v>
      </c>
      <c r="BC56" s="1" t="str">
        <f t="shared" si="11"/>
        <v>#DIV/0!</v>
      </c>
      <c r="BD56" s="1" t="str">
        <f t="shared" si="11"/>
        <v>#DIV/0!</v>
      </c>
      <c r="BE56" s="1" t="str">
        <f t="shared" si="11"/>
        <v>#DIV/0!</v>
      </c>
      <c r="BF56" s="1" t="str">
        <f t="shared" si="11"/>
        <v>#DIV/0!</v>
      </c>
      <c r="BG56" s="1" t="str">
        <f t="shared" si="11"/>
        <v>#DIV/0!</v>
      </c>
      <c r="BH56" s="1" t="str">
        <f t="shared" si="11"/>
        <v>#DIV/0!</v>
      </c>
      <c r="BI56" s="1" t="str">
        <f t="shared" si="11"/>
        <v>#DIV/0!</v>
      </c>
      <c r="BJ56" s="1" t="str">
        <f t="shared" si="11"/>
        <v>#DIV/0!</v>
      </c>
      <c r="BK56" s="1" t="str">
        <f t="shared" si="11"/>
        <v>#DIV/0!</v>
      </c>
      <c r="BL56" s="1" t="str">
        <f t="shared" si="11"/>
        <v>#DIV/0!</v>
      </c>
      <c r="BM56" s="1" t="str">
        <f t="shared" si="11"/>
        <v>#DIV/0!</v>
      </c>
      <c r="BN56" s="1" t="str">
        <f t="shared" si="11"/>
        <v>#DIV/0!</v>
      </c>
      <c r="BO56" s="1" t="str">
        <f t="shared" si="11"/>
        <v>#DIV/0!</v>
      </c>
      <c r="BP56" s="1" t="str">
        <f t="shared" si="11"/>
        <v>#DIV/0!</v>
      </c>
      <c r="BQ56" s="1">
        <f t="shared" si="11"/>
        <v>3.181818182</v>
      </c>
    </row>
    <row r="57" ht="15.75" customHeight="1">
      <c r="A57" s="2" t="s">
        <v>248</v>
      </c>
      <c r="B57" s="1">
        <f t="shared" ref="B57:N57" si="12">(B50*B52)/451</f>
        <v>0.7821138211</v>
      </c>
      <c r="C57" s="1">
        <f t="shared" si="12"/>
        <v>1.099778271</v>
      </c>
      <c r="D57" s="1">
        <f t="shared" si="12"/>
        <v>0</v>
      </c>
      <c r="E57" s="1">
        <f t="shared" si="12"/>
        <v>0</v>
      </c>
      <c r="F57" s="1">
        <f t="shared" si="12"/>
        <v>0</v>
      </c>
      <c r="G57" s="1">
        <f t="shared" si="12"/>
        <v>1.114560237</v>
      </c>
      <c r="H57" s="1">
        <f t="shared" si="12"/>
        <v>0.7716186253</v>
      </c>
      <c r="I57" s="1">
        <f t="shared" si="12"/>
        <v>1.219512195</v>
      </c>
      <c r="J57" s="1">
        <f t="shared" si="12"/>
        <v>1.129046563</v>
      </c>
      <c r="K57" s="1">
        <f t="shared" si="12"/>
        <v>0.818699187</v>
      </c>
      <c r="L57" s="1">
        <f t="shared" si="12"/>
        <v>0</v>
      </c>
      <c r="M57" s="1">
        <f t="shared" si="12"/>
        <v>0.806504065</v>
      </c>
      <c r="N57" s="1">
        <f t="shared" si="12"/>
        <v>0.8141906874</v>
      </c>
      <c r="O57" s="1"/>
      <c r="P57" s="1">
        <f t="shared" ref="P57:BQ57" si="13">(P50*P52)/451</f>
        <v>0</v>
      </c>
      <c r="Q57" s="1">
        <f t="shared" si="13"/>
        <v>1.083813747</v>
      </c>
      <c r="R57" s="1">
        <f t="shared" si="13"/>
        <v>1.510443459</v>
      </c>
      <c r="S57" s="1">
        <f t="shared" si="13"/>
        <v>0.8167775314</v>
      </c>
      <c r="T57" s="1">
        <f t="shared" si="13"/>
        <v>15.0783592</v>
      </c>
      <c r="U57" s="1">
        <f t="shared" si="13"/>
        <v>1.158758315</v>
      </c>
      <c r="V57" s="1">
        <f t="shared" si="13"/>
        <v>0</v>
      </c>
      <c r="W57" s="1">
        <f t="shared" si="13"/>
        <v>0</v>
      </c>
      <c r="X57" s="1">
        <f t="shared" si="13"/>
        <v>0.8474501109</v>
      </c>
      <c r="Y57" s="1">
        <f t="shared" si="13"/>
        <v>0.6636363636</v>
      </c>
      <c r="Z57" s="1">
        <f t="shared" si="13"/>
        <v>1.13895048</v>
      </c>
      <c r="AA57" s="1">
        <f t="shared" si="13"/>
        <v>0</v>
      </c>
      <c r="AB57" s="1">
        <f t="shared" si="13"/>
        <v>0.8635624538</v>
      </c>
      <c r="AC57" s="1">
        <f t="shared" si="13"/>
        <v>0</v>
      </c>
      <c r="AD57" s="1">
        <f t="shared" si="13"/>
        <v>0</v>
      </c>
      <c r="AE57" s="1">
        <f t="shared" si="13"/>
        <v>1.219955654</v>
      </c>
      <c r="AF57" s="1">
        <f t="shared" si="13"/>
        <v>0.9188470067</v>
      </c>
      <c r="AG57" s="1">
        <f t="shared" si="13"/>
        <v>0.6852919438</v>
      </c>
      <c r="AH57" s="1">
        <f t="shared" si="13"/>
        <v>0.8465631929</v>
      </c>
      <c r="AI57" s="1">
        <f t="shared" si="13"/>
        <v>0.6282335551</v>
      </c>
      <c r="AJ57" s="1">
        <f t="shared" si="13"/>
        <v>0</v>
      </c>
      <c r="AK57" s="1">
        <f t="shared" si="13"/>
        <v>0.7105691057</v>
      </c>
      <c r="AL57" s="1">
        <f t="shared" si="13"/>
        <v>1.096821877</v>
      </c>
      <c r="AM57" s="1">
        <f t="shared" si="13"/>
        <v>0</v>
      </c>
      <c r="AN57" s="1">
        <f t="shared" si="13"/>
        <v>0.6514412417</v>
      </c>
      <c r="AO57" s="1">
        <f t="shared" si="13"/>
        <v>1.148189209</v>
      </c>
      <c r="AP57" s="1">
        <f t="shared" si="13"/>
        <v>0</v>
      </c>
      <c r="AQ57" s="1">
        <f t="shared" si="13"/>
        <v>0</v>
      </c>
      <c r="AR57" s="1">
        <f t="shared" si="13"/>
        <v>0</v>
      </c>
      <c r="AS57" s="1">
        <f t="shared" si="13"/>
        <v>0</v>
      </c>
      <c r="AT57" s="1">
        <f t="shared" si="13"/>
        <v>0</v>
      </c>
      <c r="AU57" s="1">
        <f t="shared" si="13"/>
        <v>0</v>
      </c>
      <c r="AV57" s="1">
        <f t="shared" si="13"/>
        <v>0</v>
      </c>
      <c r="AW57" s="1">
        <f t="shared" si="13"/>
        <v>0</v>
      </c>
      <c r="AX57" s="1">
        <f t="shared" si="13"/>
        <v>0</v>
      </c>
      <c r="AY57" s="1">
        <f t="shared" si="13"/>
        <v>0</v>
      </c>
      <c r="AZ57" s="1">
        <f t="shared" si="13"/>
        <v>0</v>
      </c>
      <c r="BA57" s="1">
        <f t="shared" si="13"/>
        <v>0</v>
      </c>
      <c r="BB57" s="1">
        <f t="shared" si="13"/>
        <v>0</v>
      </c>
      <c r="BC57" s="1">
        <f t="shared" si="13"/>
        <v>0</v>
      </c>
      <c r="BD57" s="1">
        <f t="shared" si="13"/>
        <v>0</v>
      </c>
      <c r="BE57" s="1">
        <f t="shared" si="13"/>
        <v>0</v>
      </c>
      <c r="BF57" s="1">
        <f t="shared" si="13"/>
        <v>0</v>
      </c>
      <c r="BG57" s="1">
        <f t="shared" si="13"/>
        <v>0</v>
      </c>
      <c r="BH57" s="1">
        <f t="shared" si="13"/>
        <v>0</v>
      </c>
      <c r="BI57" s="1">
        <f t="shared" si="13"/>
        <v>0</v>
      </c>
      <c r="BJ57" s="1">
        <f t="shared" si="13"/>
        <v>0</v>
      </c>
      <c r="BK57" s="1">
        <f t="shared" si="13"/>
        <v>0</v>
      </c>
      <c r="BL57" s="1">
        <f t="shared" si="13"/>
        <v>0</v>
      </c>
      <c r="BM57" s="1">
        <f t="shared" si="13"/>
        <v>0</v>
      </c>
      <c r="BN57" s="1">
        <f t="shared" si="13"/>
        <v>0</v>
      </c>
      <c r="BO57" s="1">
        <f t="shared" si="13"/>
        <v>0</v>
      </c>
      <c r="BP57" s="1">
        <f t="shared" si="13"/>
        <v>0</v>
      </c>
      <c r="BQ57" s="1">
        <f t="shared" si="13"/>
        <v>1.34338507</v>
      </c>
    </row>
    <row r="58" ht="15.75" customHeight="1">
      <c r="A58" s="3" t="s">
        <v>249</v>
      </c>
      <c r="B58" s="1">
        <f t="shared" ref="B58:N58" si="14">(B45*B52)/451</f>
        <v>0.3035476718</v>
      </c>
      <c r="C58" s="1">
        <f t="shared" si="14"/>
        <v>0.5853658537</v>
      </c>
      <c r="D58" s="1">
        <f t="shared" si="14"/>
        <v>0</v>
      </c>
      <c r="E58" s="1">
        <f t="shared" si="14"/>
        <v>0</v>
      </c>
      <c r="F58" s="1">
        <f t="shared" si="14"/>
        <v>0</v>
      </c>
      <c r="G58" s="1">
        <f t="shared" si="14"/>
        <v>0.2700665188</v>
      </c>
      <c r="H58" s="1">
        <f t="shared" si="14"/>
        <v>0.3592017738</v>
      </c>
      <c r="I58" s="1">
        <f t="shared" si="14"/>
        <v>0.4523281596</v>
      </c>
      <c r="J58" s="1">
        <f t="shared" si="14"/>
        <v>0.366518847</v>
      </c>
      <c r="K58" s="1">
        <f t="shared" si="14"/>
        <v>0.3760532151</v>
      </c>
      <c r="L58" s="1">
        <f t="shared" si="14"/>
        <v>0</v>
      </c>
      <c r="M58" s="1">
        <f t="shared" si="14"/>
        <v>0.2731707317</v>
      </c>
      <c r="N58" s="1">
        <f t="shared" si="14"/>
        <v>0.1809312639</v>
      </c>
      <c r="O58" s="1"/>
      <c r="P58" s="1">
        <f t="shared" ref="P58:BQ58" si="15">(P45*P52)/451</f>
        <v>0</v>
      </c>
      <c r="Q58" s="1">
        <f t="shared" si="15"/>
        <v>0.4381374723</v>
      </c>
      <c r="R58" s="1">
        <f t="shared" si="15"/>
        <v>0.6250110865</v>
      </c>
      <c r="S58" s="1">
        <f t="shared" si="15"/>
        <v>0.2955654102</v>
      </c>
      <c r="T58" s="1">
        <f t="shared" si="15"/>
        <v>4.730465632</v>
      </c>
      <c r="U58" s="1">
        <f t="shared" si="15"/>
        <v>0.2079822616</v>
      </c>
      <c r="V58" s="1">
        <f t="shared" si="15"/>
        <v>0</v>
      </c>
      <c r="W58" s="1">
        <f t="shared" si="15"/>
        <v>0</v>
      </c>
      <c r="X58" s="1">
        <f t="shared" si="15"/>
        <v>0.321286031</v>
      </c>
      <c r="Y58" s="1">
        <f t="shared" si="15"/>
        <v>0.2090909091</v>
      </c>
      <c r="Z58" s="1">
        <f t="shared" si="15"/>
        <v>0.3119733925</v>
      </c>
      <c r="AA58" s="1">
        <f t="shared" si="15"/>
        <v>0</v>
      </c>
      <c r="AB58" s="1">
        <f t="shared" si="15"/>
        <v>0.3059866962</v>
      </c>
      <c r="AC58" s="1">
        <f t="shared" si="15"/>
        <v>0</v>
      </c>
      <c r="AD58" s="1">
        <f t="shared" si="15"/>
        <v>0</v>
      </c>
      <c r="AE58" s="1">
        <f t="shared" si="15"/>
        <v>0.4889135255</v>
      </c>
      <c r="AF58" s="1">
        <f t="shared" si="15"/>
        <v>0.3352549889</v>
      </c>
      <c r="AG58" s="1">
        <f t="shared" si="15"/>
        <v>0.2190687361</v>
      </c>
      <c r="AH58" s="1">
        <f t="shared" si="15"/>
        <v>0.2345898004</v>
      </c>
      <c r="AI58" s="1">
        <f t="shared" si="15"/>
        <v>0.465631929</v>
      </c>
      <c r="AJ58" s="1">
        <f t="shared" si="15"/>
        <v>0</v>
      </c>
      <c r="AK58" s="1">
        <f t="shared" si="15"/>
        <v>0.3707317073</v>
      </c>
      <c r="AL58" s="1">
        <f t="shared" si="15"/>
        <v>0.4594235033</v>
      </c>
      <c r="AM58" s="1">
        <f t="shared" si="15"/>
        <v>0</v>
      </c>
      <c r="AN58" s="1">
        <f t="shared" si="15"/>
        <v>0.2507760532</v>
      </c>
      <c r="AO58" s="1">
        <f t="shared" si="15"/>
        <v>0.3170731707</v>
      </c>
      <c r="AP58" s="1">
        <f t="shared" si="15"/>
        <v>0</v>
      </c>
      <c r="AQ58" s="1">
        <f t="shared" si="15"/>
        <v>0</v>
      </c>
      <c r="AR58" s="1">
        <f t="shared" si="15"/>
        <v>0</v>
      </c>
      <c r="AS58" s="1">
        <f t="shared" si="15"/>
        <v>0</v>
      </c>
      <c r="AT58" s="1">
        <f t="shared" si="15"/>
        <v>0</v>
      </c>
      <c r="AU58" s="1">
        <f t="shared" si="15"/>
        <v>0</v>
      </c>
      <c r="AV58" s="1">
        <f t="shared" si="15"/>
        <v>0</v>
      </c>
      <c r="AW58" s="1">
        <f t="shared" si="15"/>
        <v>0</v>
      </c>
      <c r="AX58" s="1">
        <f t="shared" si="15"/>
        <v>0</v>
      </c>
      <c r="AY58" s="1">
        <f t="shared" si="15"/>
        <v>0</v>
      </c>
      <c r="AZ58" s="1">
        <f t="shared" si="15"/>
        <v>0</v>
      </c>
      <c r="BA58" s="1">
        <f t="shared" si="15"/>
        <v>0</v>
      </c>
      <c r="BB58" s="1">
        <f t="shared" si="15"/>
        <v>0</v>
      </c>
      <c r="BC58" s="1">
        <f t="shared" si="15"/>
        <v>0</v>
      </c>
      <c r="BD58" s="1">
        <f t="shared" si="15"/>
        <v>0</v>
      </c>
      <c r="BE58" s="1">
        <f t="shared" si="15"/>
        <v>0</v>
      </c>
      <c r="BF58" s="1">
        <f t="shared" si="15"/>
        <v>0</v>
      </c>
      <c r="BG58" s="1">
        <f t="shared" si="15"/>
        <v>0</v>
      </c>
      <c r="BH58" s="1">
        <f t="shared" si="15"/>
        <v>0</v>
      </c>
      <c r="BI58" s="1">
        <f t="shared" si="15"/>
        <v>0</v>
      </c>
      <c r="BJ58" s="1">
        <f t="shared" si="15"/>
        <v>0</v>
      </c>
      <c r="BK58" s="1">
        <f t="shared" si="15"/>
        <v>0</v>
      </c>
      <c r="BL58" s="1">
        <f t="shared" si="15"/>
        <v>0</v>
      </c>
      <c r="BM58" s="1">
        <f t="shared" si="15"/>
        <v>0</v>
      </c>
      <c r="BN58" s="1">
        <f t="shared" si="15"/>
        <v>0</v>
      </c>
      <c r="BO58" s="1">
        <f t="shared" si="15"/>
        <v>0</v>
      </c>
      <c r="BP58" s="1">
        <f t="shared" si="15"/>
        <v>0</v>
      </c>
      <c r="BQ58" s="1">
        <f t="shared" si="15"/>
        <v>0.4093126386</v>
      </c>
    </row>
    <row r="59" ht="15.75" customHeight="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ht="15.75" customHeight="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ht="15.75" customHeight="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ht="15.75" customHeight="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ht="15.75" customHeight="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ht="15.75" customHeight="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ht="15.75" customHeight="1">
      <c r="A65" s="4" t="s">
        <v>453</v>
      </c>
      <c r="B65" s="1"/>
      <c r="C65" s="5" t="s">
        <v>264</v>
      </c>
      <c r="D65" s="1"/>
      <c r="E65" s="1"/>
      <c r="F65" s="1"/>
      <c r="G65" s="1"/>
      <c r="H65" s="1"/>
      <c r="I65" s="1"/>
      <c r="J65" s="1"/>
      <c r="K65" s="1"/>
      <c r="L65" s="1"/>
      <c r="M65" s="1"/>
      <c r="N65" s="1"/>
      <c r="O65" s="1"/>
      <c r="P65" s="1"/>
      <c r="Q65" s="1"/>
      <c r="R65" s="1"/>
      <c r="S65" s="1"/>
      <c r="T65" s="1"/>
      <c r="U65" s="5" t="s">
        <v>265</v>
      </c>
      <c r="V65" s="1"/>
      <c r="W65" s="1"/>
      <c r="X65" s="1"/>
      <c r="Y65" s="1"/>
      <c r="Z65" s="1"/>
      <c r="AA65" s="1" t="s">
        <v>266</v>
      </c>
      <c r="AB65" s="1"/>
      <c r="AC65" s="1"/>
      <c r="AD65" s="1"/>
      <c r="AE65" s="1" t="s">
        <v>267</v>
      </c>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ht="15.75" customHeight="1">
      <c r="A66" s="11" t="s">
        <v>281</v>
      </c>
      <c r="B66" s="1">
        <v>12.0</v>
      </c>
      <c r="C66" s="1">
        <v>13.0</v>
      </c>
      <c r="D66" s="1"/>
      <c r="E66" s="1">
        <v>17.0</v>
      </c>
      <c r="F66" s="1"/>
      <c r="G66" s="1">
        <v>22.0</v>
      </c>
      <c r="H66" s="1">
        <v>21.0</v>
      </c>
      <c r="I66" s="1">
        <v>20.0</v>
      </c>
      <c r="J66" s="1">
        <v>108.0</v>
      </c>
      <c r="K66" s="1">
        <v>18.0</v>
      </c>
      <c r="L66" s="1">
        <v>2.0</v>
      </c>
      <c r="M66" s="1">
        <v>8.0</v>
      </c>
      <c r="N66" s="1">
        <v>1.0</v>
      </c>
      <c r="O66" s="1">
        <v>2.0</v>
      </c>
      <c r="P66" s="1"/>
      <c r="Q66" s="1">
        <v>4.0</v>
      </c>
      <c r="R66" s="1">
        <v>0.0</v>
      </c>
      <c r="S66" s="1">
        <v>10.0</v>
      </c>
      <c r="T66" s="1">
        <v>5.0</v>
      </c>
      <c r="U66" s="1">
        <v>2.0</v>
      </c>
      <c r="V66" s="1"/>
      <c r="W66" s="1"/>
      <c r="X66" s="1">
        <v>24.0</v>
      </c>
      <c r="Y66" s="1">
        <v>5.0</v>
      </c>
      <c r="Z66" s="1">
        <v>9.0</v>
      </c>
      <c r="AA66" s="1">
        <v>3.0</v>
      </c>
      <c r="AB66" s="1">
        <v>2.0</v>
      </c>
      <c r="AC66" s="1">
        <v>5.0</v>
      </c>
      <c r="AD66" s="1"/>
      <c r="AE66" s="1">
        <v>2.0</v>
      </c>
      <c r="AF66" s="1">
        <v>6.0</v>
      </c>
      <c r="AG66" s="1">
        <v>6.0</v>
      </c>
      <c r="AH66" s="1">
        <v>10.0</v>
      </c>
      <c r="AI66" s="1">
        <v>0.0</v>
      </c>
      <c r="AJ66" s="1"/>
      <c r="AK66" s="1">
        <v>13.0</v>
      </c>
      <c r="AL66" s="1">
        <v>2.0</v>
      </c>
      <c r="AM66" s="1"/>
      <c r="AN66" s="1">
        <v>1.0</v>
      </c>
      <c r="AO66" s="1">
        <v>0.0</v>
      </c>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2">
        <v>8.0</v>
      </c>
    </row>
    <row r="67" ht="15.75" customHeight="1">
      <c r="A67" s="11" t="s">
        <v>282</v>
      </c>
      <c r="B67" s="1">
        <v>5.99</v>
      </c>
      <c r="C67" s="1">
        <v>4.83</v>
      </c>
      <c r="D67" s="1"/>
      <c r="E67" s="1">
        <v>4.95</v>
      </c>
      <c r="F67" s="1"/>
      <c r="G67" s="1">
        <v>4.32</v>
      </c>
      <c r="H67" s="2">
        <v>3.93</v>
      </c>
      <c r="I67" s="1">
        <v>6.2</v>
      </c>
      <c r="J67" s="1">
        <v>4.19</v>
      </c>
      <c r="K67" s="1">
        <v>5.4</v>
      </c>
      <c r="L67" s="1">
        <v>3.7</v>
      </c>
      <c r="M67" s="1" t="s">
        <v>232</v>
      </c>
      <c r="N67" s="1">
        <v>3.99</v>
      </c>
      <c r="O67" s="1">
        <v>4.18</v>
      </c>
      <c r="P67" s="1"/>
      <c r="Q67" s="1">
        <v>4.65</v>
      </c>
      <c r="R67" s="1" t="s">
        <v>232</v>
      </c>
      <c r="S67" s="1">
        <v>5.73</v>
      </c>
      <c r="T67" s="1" t="s">
        <v>232</v>
      </c>
      <c r="U67" s="1" t="s">
        <v>232</v>
      </c>
      <c r="V67" s="1"/>
      <c r="W67" s="1"/>
      <c r="X67" s="1">
        <v>4.77</v>
      </c>
      <c r="Y67" s="1"/>
      <c r="Z67" s="1">
        <v>6.49</v>
      </c>
      <c r="AA67" s="1" t="s">
        <v>232</v>
      </c>
      <c r="AB67" s="1" t="s">
        <v>232</v>
      </c>
      <c r="AC67" s="1" t="s">
        <v>232</v>
      </c>
      <c r="AD67" s="1"/>
      <c r="AE67" s="1" t="s">
        <v>232</v>
      </c>
      <c r="AF67" s="1">
        <v>5.67</v>
      </c>
      <c r="AG67" s="1" t="s">
        <v>232</v>
      </c>
      <c r="AH67" s="1" t="s">
        <v>232</v>
      </c>
      <c r="AI67" s="1">
        <v>4.6</v>
      </c>
      <c r="AJ67" s="1"/>
      <c r="AK67" s="1" t="s">
        <v>232</v>
      </c>
      <c r="AL67" s="1">
        <v>5.1</v>
      </c>
      <c r="AM67" s="1"/>
      <c r="AN67" s="1">
        <v>2.58</v>
      </c>
      <c r="AO67" s="1" t="s">
        <v>262</v>
      </c>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2">
        <v>3.4</v>
      </c>
    </row>
    <row r="68" ht="15.75" customHeight="1">
      <c r="A68" s="11" t="s">
        <v>284</v>
      </c>
      <c r="B68" s="1">
        <v>1.2</v>
      </c>
      <c r="C68" s="1" t="s">
        <v>232</v>
      </c>
      <c r="D68" s="1"/>
      <c r="E68" s="1">
        <v>1.8</v>
      </c>
      <c r="F68" s="1"/>
      <c r="G68" s="1">
        <v>1.1</v>
      </c>
      <c r="H68" s="1">
        <v>1.84</v>
      </c>
      <c r="I68" s="1">
        <v>1.1</v>
      </c>
      <c r="J68" s="1">
        <v>1.03</v>
      </c>
      <c r="K68" s="1" t="s">
        <v>232</v>
      </c>
      <c r="L68" s="1" t="s">
        <v>232</v>
      </c>
      <c r="M68" s="1">
        <v>1.1</v>
      </c>
      <c r="N68" s="1" t="s">
        <v>232</v>
      </c>
      <c r="O68" s="1">
        <v>1.48</v>
      </c>
      <c r="P68" s="1"/>
      <c r="Q68" s="1">
        <v>1.4</v>
      </c>
      <c r="R68" s="1" t="s">
        <v>232</v>
      </c>
      <c r="S68" s="1">
        <v>2.0</v>
      </c>
      <c r="T68" s="1">
        <v>1.6</v>
      </c>
      <c r="U68" s="1" t="s">
        <v>232</v>
      </c>
      <c r="V68" s="1"/>
      <c r="W68" s="1"/>
      <c r="X68" s="1">
        <v>2.1</v>
      </c>
      <c r="Y68" s="1">
        <v>1.5</v>
      </c>
      <c r="Z68" s="1">
        <v>2.17</v>
      </c>
      <c r="AA68" s="1">
        <v>2.06</v>
      </c>
      <c r="AB68" s="1">
        <v>1.67</v>
      </c>
      <c r="AC68" s="1"/>
      <c r="AD68" s="1"/>
      <c r="AE68" s="1">
        <v>0.87</v>
      </c>
      <c r="AF68" s="1">
        <v>2.8</v>
      </c>
      <c r="AG68" s="1"/>
      <c r="AH68" s="1" t="s">
        <v>232</v>
      </c>
      <c r="AI68" s="1" t="s">
        <v>232</v>
      </c>
      <c r="AJ68" s="1"/>
      <c r="AK68" s="1">
        <v>1.2</v>
      </c>
      <c r="AL68" s="1">
        <v>1.3</v>
      </c>
      <c r="AM68" s="1"/>
      <c r="AN68" s="1" t="s">
        <v>232</v>
      </c>
      <c r="AO68" s="1" t="s">
        <v>262</v>
      </c>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2">
        <v>1.3</v>
      </c>
    </row>
    <row r="69" ht="15.75" customHeight="1">
      <c r="A69" s="11" t="s">
        <v>285</v>
      </c>
      <c r="B69" s="1" t="s">
        <v>232</v>
      </c>
      <c r="C69" s="1" t="s">
        <v>232</v>
      </c>
      <c r="D69" s="1"/>
      <c r="E69" s="1" t="s">
        <v>232</v>
      </c>
      <c r="F69" s="1"/>
      <c r="G69" s="1"/>
      <c r="H69" s="1" t="s">
        <v>232</v>
      </c>
      <c r="I69" s="1" t="s">
        <v>232</v>
      </c>
      <c r="J69" s="1" t="s">
        <v>232</v>
      </c>
      <c r="K69" s="1" t="s">
        <v>232</v>
      </c>
      <c r="L69" s="1" t="s">
        <v>232</v>
      </c>
      <c r="M69" s="1" t="s">
        <v>232</v>
      </c>
      <c r="N69" s="1" t="s">
        <v>232</v>
      </c>
      <c r="O69" s="1" t="s">
        <v>232</v>
      </c>
      <c r="P69" s="1"/>
      <c r="Q69" s="1" t="s">
        <v>232</v>
      </c>
      <c r="R69" s="1" t="s">
        <v>232</v>
      </c>
      <c r="S69" s="1" t="s">
        <v>232</v>
      </c>
      <c r="T69" s="1" t="s">
        <v>232</v>
      </c>
      <c r="U69" s="1" t="s">
        <v>232</v>
      </c>
      <c r="V69" s="1"/>
      <c r="W69" s="1"/>
      <c r="X69" s="1" t="s">
        <v>232</v>
      </c>
      <c r="Y69" s="1" t="s">
        <v>232</v>
      </c>
      <c r="Z69" s="1">
        <v>10.0</v>
      </c>
      <c r="AA69" s="1" t="s">
        <v>232</v>
      </c>
      <c r="AB69" s="1" t="s">
        <v>232</v>
      </c>
      <c r="AC69" s="1" t="s">
        <v>232</v>
      </c>
      <c r="AD69" s="1"/>
      <c r="AE69" s="1" t="s">
        <v>232</v>
      </c>
      <c r="AF69" s="1" t="s">
        <v>232</v>
      </c>
      <c r="AG69" s="1" t="s">
        <v>232</v>
      </c>
      <c r="AH69" s="1" t="s">
        <v>232</v>
      </c>
      <c r="AI69" s="1">
        <v>7.0</v>
      </c>
      <c r="AJ69" s="1"/>
      <c r="AK69" s="1" t="s">
        <v>232</v>
      </c>
      <c r="AL69" s="1">
        <v>9.0</v>
      </c>
      <c r="AM69" s="1"/>
      <c r="AN69" s="1" t="s">
        <v>232</v>
      </c>
      <c r="AO69" s="1" t="s">
        <v>262</v>
      </c>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2">
        <v>5.1</v>
      </c>
    </row>
    <row r="70" ht="15.75" customHeight="1">
      <c r="A70" s="11" t="s">
        <v>286</v>
      </c>
      <c r="B70" s="1" t="s">
        <v>232</v>
      </c>
      <c r="C70" s="1" t="s">
        <v>232</v>
      </c>
      <c r="D70" s="1"/>
      <c r="E70" s="1" t="s">
        <v>232</v>
      </c>
      <c r="F70" s="1"/>
      <c r="G70" s="1"/>
      <c r="H70" s="1" t="s">
        <v>232</v>
      </c>
      <c r="I70" s="1" t="s">
        <v>232</v>
      </c>
      <c r="J70" s="1" t="s">
        <v>232</v>
      </c>
      <c r="K70" s="1" t="s">
        <v>232</v>
      </c>
      <c r="L70" s="1" t="s">
        <v>232</v>
      </c>
      <c r="M70" s="1" t="s">
        <v>232</v>
      </c>
      <c r="N70" s="1" t="s">
        <v>232</v>
      </c>
      <c r="O70" s="1" t="s">
        <v>232</v>
      </c>
      <c r="P70" s="1"/>
      <c r="Q70" s="1" t="s">
        <v>232</v>
      </c>
      <c r="R70" s="1" t="s">
        <v>232</v>
      </c>
      <c r="S70" s="1" t="s">
        <v>232</v>
      </c>
      <c r="T70" s="1" t="s">
        <v>232</v>
      </c>
      <c r="U70" s="1" t="s">
        <v>232</v>
      </c>
      <c r="V70" s="1"/>
      <c r="W70" s="1"/>
      <c r="X70" s="1" t="s">
        <v>232</v>
      </c>
      <c r="Y70" s="1" t="s">
        <v>287</v>
      </c>
      <c r="Z70" s="1" t="s">
        <v>232</v>
      </c>
      <c r="AA70" s="1" t="s">
        <v>232</v>
      </c>
      <c r="AB70" s="1" t="s">
        <v>232</v>
      </c>
      <c r="AC70" s="1" t="s">
        <v>232</v>
      </c>
      <c r="AD70" s="1"/>
      <c r="AE70" s="1" t="s">
        <v>232</v>
      </c>
      <c r="AF70" s="1" t="s">
        <v>232</v>
      </c>
      <c r="AG70" s="1" t="s">
        <v>232</v>
      </c>
      <c r="AH70" s="1" t="s">
        <v>232</v>
      </c>
      <c r="AI70" s="1" t="s">
        <v>232</v>
      </c>
      <c r="AJ70" s="1"/>
      <c r="AK70" s="1" t="s">
        <v>232</v>
      </c>
      <c r="AL70" s="1">
        <v>5.0</v>
      </c>
      <c r="AM70" s="1"/>
      <c r="AN70" s="1" t="s">
        <v>232</v>
      </c>
      <c r="AO70" s="1" t="s">
        <v>262</v>
      </c>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2" t="s">
        <v>232</v>
      </c>
    </row>
    <row r="71" ht="15.75" customHeight="1">
      <c r="A71" s="11" t="s">
        <v>288</v>
      </c>
      <c r="B71" s="1">
        <v>3.0</v>
      </c>
      <c r="C71" s="1">
        <v>2.0</v>
      </c>
      <c r="D71" s="1"/>
      <c r="E71" s="1">
        <v>3.0</v>
      </c>
      <c r="F71" s="1"/>
      <c r="G71" s="1">
        <v>1.5</v>
      </c>
      <c r="H71" s="1">
        <v>3.0</v>
      </c>
      <c r="I71" s="1">
        <v>3.0</v>
      </c>
      <c r="J71" s="1">
        <v>1.0</v>
      </c>
      <c r="K71" s="1">
        <v>2.0</v>
      </c>
      <c r="L71" s="1">
        <v>1.0</v>
      </c>
      <c r="M71" s="1">
        <v>3.0</v>
      </c>
      <c r="N71" s="1">
        <v>1.0</v>
      </c>
      <c r="O71" s="1">
        <v>1.5</v>
      </c>
      <c r="P71" s="1"/>
      <c r="Q71" s="1">
        <v>2.0</v>
      </c>
      <c r="R71" s="1">
        <v>1.0</v>
      </c>
      <c r="S71" s="1">
        <v>2.0</v>
      </c>
      <c r="T71" s="1">
        <v>1.0</v>
      </c>
      <c r="U71" s="1"/>
      <c r="V71" s="1"/>
      <c r="W71" s="1"/>
      <c r="X71" s="1">
        <v>3.0</v>
      </c>
      <c r="Y71" s="1">
        <v>2.0</v>
      </c>
      <c r="Z71" s="1">
        <v>3.0</v>
      </c>
      <c r="AA71" s="1">
        <v>1.0</v>
      </c>
      <c r="AB71" s="1">
        <v>3.0</v>
      </c>
      <c r="AC71" s="1">
        <v>2.0</v>
      </c>
      <c r="AD71" s="1"/>
      <c r="AE71" s="1">
        <v>2.0</v>
      </c>
      <c r="AF71" s="1">
        <v>1.0</v>
      </c>
      <c r="AG71" s="1">
        <v>2.0</v>
      </c>
      <c r="AH71" s="1">
        <v>1.0</v>
      </c>
      <c r="AI71" s="1">
        <v>1.0</v>
      </c>
      <c r="AJ71" s="1"/>
      <c r="AK71" s="1">
        <v>2.0</v>
      </c>
      <c r="AL71" s="1">
        <v>1.0</v>
      </c>
      <c r="AM71" s="1"/>
      <c r="AN71" s="1">
        <v>1.0</v>
      </c>
      <c r="AO71" s="1">
        <v>2.0</v>
      </c>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2">
        <v>2.0</v>
      </c>
    </row>
    <row r="72" ht="15.75" customHeight="1">
      <c r="A72" s="11" t="s">
        <v>234</v>
      </c>
      <c r="B72" s="1">
        <v>41.0</v>
      </c>
      <c r="C72" s="1">
        <v>40.0</v>
      </c>
      <c r="D72" s="1"/>
      <c r="E72" s="1">
        <v>52.5</v>
      </c>
      <c r="F72" s="1"/>
      <c r="G72" s="1">
        <v>50.0</v>
      </c>
      <c r="H72" s="1">
        <v>43.0</v>
      </c>
      <c r="I72" s="1">
        <v>61.0</v>
      </c>
      <c r="J72" s="1" t="s">
        <v>232</v>
      </c>
      <c r="K72" s="1">
        <v>53.0</v>
      </c>
      <c r="L72" s="1" t="s">
        <v>232</v>
      </c>
      <c r="M72" s="1">
        <v>53.0</v>
      </c>
      <c r="N72" s="1">
        <v>38.0</v>
      </c>
      <c r="O72" s="1">
        <v>53.0</v>
      </c>
      <c r="P72" s="1"/>
      <c r="Q72" s="1">
        <v>76.0</v>
      </c>
      <c r="R72" s="1">
        <v>70.0</v>
      </c>
      <c r="S72" s="1">
        <v>45.0</v>
      </c>
      <c r="T72" s="1">
        <v>42.5</v>
      </c>
      <c r="U72" s="1" t="s">
        <v>232</v>
      </c>
      <c r="V72" s="1"/>
      <c r="W72" s="1"/>
      <c r="X72" s="1">
        <v>50.0</v>
      </c>
      <c r="Y72" s="1">
        <v>33.0</v>
      </c>
      <c r="Z72" s="1">
        <v>34.0</v>
      </c>
      <c r="AA72" s="1">
        <v>62.0</v>
      </c>
      <c r="AB72" s="1">
        <v>36.0</v>
      </c>
      <c r="AC72" s="1">
        <v>56.0</v>
      </c>
      <c r="AD72" s="1"/>
      <c r="AE72" s="1">
        <v>42.5</v>
      </c>
      <c r="AF72" s="1" t="s">
        <v>232</v>
      </c>
      <c r="AG72" s="1">
        <v>48.0</v>
      </c>
      <c r="AH72" s="1">
        <v>48.0</v>
      </c>
      <c r="AI72" s="1">
        <v>40.0</v>
      </c>
      <c r="AJ72" s="1"/>
      <c r="AK72" s="1" t="s">
        <v>232</v>
      </c>
      <c r="AL72" s="1">
        <v>29.0</v>
      </c>
      <c r="AM72" s="1"/>
      <c r="AN72" s="1" t="s">
        <v>232</v>
      </c>
      <c r="AO72" s="1">
        <v>44.0</v>
      </c>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2">
        <v>38.0</v>
      </c>
    </row>
    <row r="73" ht="15.75" customHeight="1">
      <c r="A73" s="11" t="s">
        <v>289</v>
      </c>
      <c r="B73" s="1">
        <v>5.37</v>
      </c>
      <c r="C73" s="1">
        <v>7.56</v>
      </c>
      <c r="D73" s="1"/>
      <c r="E73" s="1">
        <v>6.46</v>
      </c>
      <c r="F73" s="1"/>
      <c r="G73" s="1">
        <v>6.52</v>
      </c>
      <c r="H73" s="1">
        <v>5.71</v>
      </c>
      <c r="I73" s="1">
        <v>6.6</v>
      </c>
      <c r="J73" s="1">
        <v>7.15</v>
      </c>
      <c r="K73" s="1">
        <v>6.87</v>
      </c>
      <c r="L73" s="1">
        <v>6.89</v>
      </c>
      <c r="M73" s="1">
        <v>7.25</v>
      </c>
      <c r="N73" s="1">
        <v>5.64</v>
      </c>
      <c r="O73" s="1">
        <v>5.28</v>
      </c>
      <c r="P73" s="1"/>
      <c r="Q73" s="1">
        <v>5.7</v>
      </c>
      <c r="R73" s="1">
        <v>7.3</v>
      </c>
      <c r="S73" s="1">
        <v>6.82</v>
      </c>
      <c r="T73" s="1">
        <v>6.0</v>
      </c>
      <c r="U73" s="1">
        <v>6.87</v>
      </c>
      <c r="V73" s="1"/>
      <c r="W73" s="1"/>
      <c r="X73" s="1">
        <v>6.45</v>
      </c>
      <c r="Y73" s="1">
        <v>6.06</v>
      </c>
      <c r="Z73" s="1">
        <v>5.53</v>
      </c>
      <c r="AA73" s="1">
        <v>9.0</v>
      </c>
      <c r="AB73" s="1">
        <v>7.6</v>
      </c>
      <c r="AC73" s="1">
        <v>7.94</v>
      </c>
      <c r="AD73" s="1"/>
      <c r="AE73" s="1">
        <v>6.7</v>
      </c>
      <c r="AF73" s="1">
        <v>7.09</v>
      </c>
      <c r="AG73" s="1">
        <v>6.1</v>
      </c>
      <c r="AH73" s="1">
        <v>5.1</v>
      </c>
      <c r="AI73" s="1">
        <v>6.3</v>
      </c>
      <c r="AJ73" s="1"/>
      <c r="AK73" s="1">
        <v>6.1</v>
      </c>
      <c r="AL73" s="1">
        <v>6.7</v>
      </c>
      <c r="AM73" s="1"/>
      <c r="AN73" s="1">
        <v>4.56</v>
      </c>
      <c r="AO73" s="1">
        <v>6.0</v>
      </c>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2">
        <v>7.1</v>
      </c>
    </row>
    <row r="74" ht="15.75" customHeight="1">
      <c r="A74" s="11" t="s">
        <v>290</v>
      </c>
      <c r="B74" s="1" t="s">
        <v>232</v>
      </c>
      <c r="C74" s="1">
        <v>0.0</v>
      </c>
      <c r="D74" s="1"/>
      <c r="E74" s="1">
        <v>0.0</v>
      </c>
      <c r="F74" s="1"/>
      <c r="G74" s="1">
        <v>0.0</v>
      </c>
      <c r="H74" s="1">
        <v>0.0</v>
      </c>
      <c r="I74" s="1">
        <v>0.0</v>
      </c>
      <c r="J74" s="1">
        <v>0.0</v>
      </c>
      <c r="K74" s="1">
        <v>0.0</v>
      </c>
      <c r="L74" s="1">
        <v>0.0</v>
      </c>
      <c r="M74" s="1">
        <v>0.0</v>
      </c>
      <c r="N74" s="1">
        <v>0.0</v>
      </c>
      <c r="O74" s="1">
        <v>0.0</v>
      </c>
      <c r="P74" s="1"/>
      <c r="Q74" s="1">
        <v>0.0</v>
      </c>
      <c r="R74" s="1" t="s">
        <v>232</v>
      </c>
      <c r="S74" s="1">
        <v>0.0</v>
      </c>
      <c r="T74" s="1">
        <v>0.0</v>
      </c>
      <c r="U74" s="1">
        <v>0.0</v>
      </c>
      <c r="V74" s="1"/>
      <c r="W74" s="1"/>
      <c r="X74" s="1">
        <v>1.0</v>
      </c>
      <c r="Y74" s="1">
        <v>0.0</v>
      </c>
      <c r="Z74" s="1">
        <v>0.0</v>
      </c>
      <c r="AA74" s="1">
        <v>0.0</v>
      </c>
      <c r="AB74" s="1">
        <v>0.0</v>
      </c>
      <c r="AC74" s="1" t="s">
        <v>232</v>
      </c>
      <c r="AD74" s="1"/>
      <c r="AE74" s="1" t="s">
        <v>232</v>
      </c>
      <c r="AF74" s="1">
        <v>0.0</v>
      </c>
      <c r="AG74" s="1" t="s">
        <v>232</v>
      </c>
      <c r="AH74" s="1">
        <v>1.0</v>
      </c>
      <c r="AI74" s="1">
        <v>0.0</v>
      </c>
      <c r="AJ74" s="1"/>
      <c r="AK74" s="1" t="s">
        <v>232</v>
      </c>
      <c r="AL74" s="1">
        <v>0.0</v>
      </c>
      <c r="AM74" s="1"/>
      <c r="AN74" s="1">
        <v>0.0</v>
      </c>
      <c r="AO74" s="1">
        <v>1.0</v>
      </c>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2" t="s">
        <v>232</v>
      </c>
    </row>
    <row r="75" ht="15.75" customHeight="1">
      <c r="A75" s="15" t="s">
        <v>291</v>
      </c>
      <c r="B75" s="1" t="s">
        <v>232</v>
      </c>
      <c r="C75" s="1">
        <v>0.0</v>
      </c>
      <c r="D75" s="1"/>
      <c r="E75" s="1">
        <v>0.0</v>
      </c>
      <c r="F75" s="1"/>
      <c r="G75" s="1">
        <v>0.0</v>
      </c>
      <c r="H75" s="1">
        <v>0.0</v>
      </c>
      <c r="I75" s="1">
        <v>0.0</v>
      </c>
      <c r="J75" s="1">
        <v>0.0</v>
      </c>
      <c r="K75" s="1">
        <v>0.0</v>
      </c>
      <c r="L75" s="1">
        <v>0.0</v>
      </c>
      <c r="M75" s="1">
        <v>0.0</v>
      </c>
      <c r="N75" s="1">
        <v>0.0</v>
      </c>
      <c r="O75" s="1">
        <v>0.0</v>
      </c>
      <c r="P75" s="1"/>
      <c r="Q75" s="1">
        <v>0.0</v>
      </c>
      <c r="R75" s="1" t="s">
        <v>232</v>
      </c>
      <c r="S75" s="1">
        <v>0.0</v>
      </c>
      <c r="T75" s="1">
        <v>0.0</v>
      </c>
      <c r="U75" s="1">
        <v>0.0</v>
      </c>
      <c r="V75" s="1"/>
      <c r="W75" s="1"/>
      <c r="X75" s="1">
        <v>0.0</v>
      </c>
      <c r="Y75" s="1">
        <v>0.0</v>
      </c>
      <c r="Z75" s="1">
        <v>0.0</v>
      </c>
      <c r="AA75" s="1">
        <v>0.0</v>
      </c>
      <c r="AB75" s="1">
        <v>0.0</v>
      </c>
      <c r="AC75" s="1" t="s">
        <v>232</v>
      </c>
      <c r="AD75" s="1"/>
      <c r="AE75" s="1" t="s">
        <v>232</v>
      </c>
      <c r="AF75" s="1">
        <v>0.0</v>
      </c>
      <c r="AG75" s="1" t="s">
        <v>232</v>
      </c>
      <c r="AH75" s="1">
        <v>0.0</v>
      </c>
      <c r="AI75" s="1">
        <v>0.0</v>
      </c>
      <c r="AJ75" s="1"/>
      <c r="AK75" s="1" t="s">
        <v>232</v>
      </c>
      <c r="AL75" s="1">
        <v>0.0</v>
      </c>
      <c r="AM75" s="1"/>
      <c r="AN75" s="1">
        <v>0.0</v>
      </c>
      <c r="AO75" s="1">
        <v>0.0</v>
      </c>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2" t="s">
        <v>232</v>
      </c>
    </row>
    <row r="76" ht="15.75" customHeight="1">
      <c r="A76" s="4" t="s">
        <v>462</v>
      </c>
      <c r="B76" s="1"/>
      <c r="C76" s="1"/>
      <c r="D76" s="1"/>
      <c r="E76" s="1"/>
      <c r="F76" s="1"/>
      <c r="G76" s="1"/>
      <c r="H76" s="1"/>
      <c r="I76" s="1"/>
      <c r="J76" s="1"/>
      <c r="K76" s="1"/>
      <c r="L76" s="1"/>
      <c r="M76" s="1"/>
      <c r="N76" s="1"/>
      <c r="O76" s="1" t="s">
        <v>293</v>
      </c>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row>
    <row r="77" ht="15.75" customHeight="1">
      <c r="A77" s="11" t="s">
        <v>281</v>
      </c>
      <c r="B77" s="1">
        <v>1.0</v>
      </c>
      <c r="C77" s="1">
        <v>6.0</v>
      </c>
      <c r="D77" s="1"/>
      <c r="E77" s="1">
        <v>0.0</v>
      </c>
      <c r="F77" s="1"/>
      <c r="G77" s="1">
        <v>1.0</v>
      </c>
      <c r="H77" s="1">
        <v>2.0</v>
      </c>
      <c r="I77" s="1">
        <v>1.0</v>
      </c>
      <c r="J77" s="1">
        <v>1.0</v>
      </c>
      <c r="K77" s="1">
        <v>3.0</v>
      </c>
      <c r="L77" s="1">
        <v>1.0</v>
      </c>
      <c r="M77" s="1">
        <v>4.0</v>
      </c>
      <c r="N77" s="1">
        <v>5.0</v>
      </c>
      <c r="O77" s="1">
        <v>2.0</v>
      </c>
      <c r="P77" s="1"/>
      <c r="Q77" s="1">
        <v>1.0</v>
      </c>
      <c r="R77" s="1">
        <v>3.0</v>
      </c>
      <c r="S77" s="1">
        <v>1.0</v>
      </c>
      <c r="T77" s="1">
        <v>20.0</v>
      </c>
      <c r="U77" s="1">
        <v>3.0</v>
      </c>
      <c r="V77" s="1"/>
      <c r="W77" s="1"/>
      <c r="X77" s="1">
        <v>1.0</v>
      </c>
      <c r="Y77" s="1">
        <v>1.0</v>
      </c>
      <c r="Z77" s="1">
        <v>0.0</v>
      </c>
      <c r="AA77" s="1">
        <v>5.0</v>
      </c>
      <c r="AB77" s="1">
        <v>1.0</v>
      </c>
      <c r="AC77" s="1">
        <v>11.0</v>
      </c>
      <c r="AD77" s="1"/>
      <c r="AE77" s="1">
        <v>1.0</v>
      </c>
      <c r="AF77" s="1">
        <v>5.0</v>
      </c>
      <c r="AG77" s="1">
        <v>0.0</v>
      </c>
      <c r="AH77" s="1">
        <v>5.0</v>
      </c>
      <c r="AI77" s="1">
        <v>6.0</v>
      </c>
      <c r="AJ77" s="1"/>
      <c r="AK77" s="1">
        <v>3.0</v>
      </c>
      <c r="AL77" s="1">
        <v>3.0</v>
      </c>
      <c r="AM77" s="1"/>
      <c r="AN77" s="1">
        <v>8.0</v>
      </c>
      <c r="AO77" s="1">
        <v>4.0</v>
      </c>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2">
        <v>1.0</v>
      </c>
    </row>
    <row r="78" ht="15.75" customHeight="1">
      <c r="A78" s="11" t="s">
        <v>282</v>
      </c>
      <c r="B78" s="1">
        <v>4.5</v>
      </c>
      <c r="C78" s="2" t="s">
        <v>232</v>
      </c>
      <c r="D78" s="1"/>
      <c r="E78" s="1">
        <v>5.21</v>
      </c>
      <c r="F78" s="1"/>
      <c r="G78" s="1">
        <v>3.8</v>
      </c>
      <c r="H78" s="1" t="s">
        <v>232</v>
      </c>
      <c r="I78" s="1">
        <v>5.3</v>
      </c>
      <c r="J78" s="1" t="s">
        <v>232</v>
      </c>
      <c r="K78" s="1">
        <v>4.7</v>
      </c>
      <c r="L78" s="1" t="s">
        <v>232</v>
      </c>
      <c r="M78" s="1" t="s">
        <v>232</v>
      </c>
      <c r="N78" s="1" t="s">
        <v>232</v>
      </c>
      <c r="O78" s="1" t="s">
        <v>232</v>
      </c>
      <c r="P78" s="1"/>
      <c r="Q78" s="1" t="s">
        <v>232</v>
      </c>
      <c r="R78" s="1" t="s">
        <v>232</v>
      </c>
      <c r="S78" s="1">
        <v>4.6</v>
      </c>
      <c r="T78" s="1" t="s">
        <v>232</v>
      </c>
      <c r="U78" s="1" t="s">
        <v>232</v>
      </c>
      <c r="V78" s="1"/>
      <c r="W78" s="1"/>
      <c r="X78" s="1">
        <v>4.06</v>
      </c>
      <c r="Y78" s="1">
        <v>3.97</v>
      </c>
      <c r="Z78" s="2">
        <v>3.83</v>
      </c>
      <c r="AA78" s="1" t="s">
        <v>232</v>
      </c>
      <c r="AB78" s="1" t="s">
        <v>232</v>
      </c>
      <c r="AC78" s="1" t="s">
        <v>232</v>
      </c>
      <c r="AD78" s="1"/>
      <c r="AE78" s="1" t="s">
        <v>232</v>
      </c>
      <c r="AF78" s="1" t="s">
        <v>232</v>
      </c>
      <c r="AG78" s="1" t="s">
        <v>232</v>
      </c>
      <c r="AH78" s="1">
        <v>5.9</v>
      </c>
      <c r="AI78" s="1">
        <v>4.0</v>
      </c>
      <c r="AJ78" s="1"/>
      <c r="AK78" s="1">
        <v>3.13</v>
      </c>
      <c r="AL78" s="1">
        <v>4.3</v>
      </c>
      <c r="AM78" s="1"/>
      <c r="AN78" s="1" t="s">
        <v>232</v>
      </c>
      <c r="AO78" s="1" t="s">
        <v>262</v>
      </c>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2" t="s">
        <v>232</v>
      </c>
    </row>
    <row r="79" ht="15.75" customHeight="1">
      <c r="A79" s="11" t="s">
        <v>284</v>
      </c>
      <c r="B79" s="1">
        <v>2.3</v>
      </c>
      <c r="C79" s="1" t="s">
        <v>232</v>
      </c>
      <c r="D79" s="1"/>
      <c r="E79" s="1" t="s">
        <v>232</v>
      </c>
      <c r="F79" s="1"/>
      <c r="G79" s="1">
        <v>1.89</v>
      </c>
      <c r="H79" s="1">
        <v>2.0</v>
      </c>
      <c r="I79" s="1" t="s">
        <v>232</v>
      </c>
      <c r="J79" s="1" t="s">
        <v>232</v>
      </c>
      <c r="K79" s="1" t="s">
        <v>232</v>
      </c>
      <c r="L79" s="1" t="s">
        <v>296</v>
      </c>
      <c r="M79" s="1" t="s">
        <v>232</v>
      </c>
      <c r="N79" s="1" t="s">
        <v>232</v>
      </c>
      <c r="O79" s="1" t="s">
        <v>232</v>
      </c>
      <c r="P79" s="1"/>
      <c r="Q79" s="1" t="s">
        <v>232</v>
      </c>
      <c r="R79" s="1">
        <v>2.9</v>
      </c>
      <c r="S79" s="1">
        <v>1.2</v>
      </c>
      <c r="T79" s="1" t="s">
        <v>232</v>
      </c>
      <c r="U79" s="1" t="s">
        <v>232</v>
      </c>
      <c r="V79" s="1"/>
      <c r="W79" s="1"/>
      <c r="X79" s="1">
        <v>1.6</v>
      </c>
      <c r="Y79" s="1" t="s">
        <v>232</v>
      </c>
      <c r="Z79" s="1">
        <v>1.3</v>
      </c>
      <c r="AA79" s="1">
        <v>1.16</v>
      </c>
      <c r="AB79" s="1" t="s">
        <v>232</v>
      </c>
      <c r="AC79" s="1">
        <v>2.23</v>
      </c>
      <c r="AD79" s="1"/>
      <c r="AE79" s="1" t="s">
        <v>232</v>
      </c>
      <c r="AF79" s="1" t="s">
        <v>232</v>
      </c>
      <c r="AG79" s="1">
        <v>0.8</v>
      </c>
      <c r="AH79" s="1">
        <v>0.9</v>
      </c>
      <c r="AI79" s="1">
        <v>1.65</v>
      </c>
      <c r="AJ79" s="1"/>
      <c r="AK79" s="1" t="s">
        <v>232</v>
      </c>
      <c r="AL79" s="1">
        <v>1.9</v>
      </c>
      <c r="AM79" s="1"/>
      <c r="AN79" s="1" t="s">
        <v>232</v>
      </c>
      <c r="AO79" s="1" t="s">
        <v>262</v>
      </c>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2">
        <v>1.9</v>
      </c>
    </row>
    <row r="80" ht="15.75" customHeight="1">
      <c r="A80" s="11" t="s">
        <v>285</v>
      </c>
      <c r="B80" s="1">
        <v>10.0</v>
      </c>
      <c r="C80" s="1" t="s">
        <v>232</v>
      </c>
      <c r="D80" s="1"/>
      <c r="E80" s="1" t="s">
        <v>232</v>
      </c>
      <c r="F80" s="1"/>
      <c r="G80" s="1" t="s">
        <v>232</v>
      </c>
      <c r="H80" s="1" t="s">
        <v>262</v>
      </c>
      <c r="I80" s="1" t="s">
        <v>232</v>
      </c>
      <c r="J80" s="1" t="s">
        <v>232</v>
      </c>
      <c r="K80" s="1" t="s">
        <v>232</v>
      </c>
      <c r="L80" s="1">
        <v>16.0</v>
      </c>
      <c r="M80" s="1" t="s">
        <v>232</v>
      </c>
      <c r="N80" s="1" t="s">
        <v>232</v>
      </c>
      <c r="O80" s="1" t="s">
        <v>232</v>
      </c>
      <c r="P80" s="1"/>
      <c r="Q80" s="1" t="s">
        <v>232</v>
      </c>
      <c r="R80" s="1" t="s">
        <v>232</v>
      </c>
      <c r="S80" s="1" t="s">
        <v>232</v>
      </c>
      <c r="T80" s="1" t="s">
        <v>232</v>
      </c>
      <c r="U80" s="1" t="s">
        <v>232</v>
      </c>
      <c r="V80" s="1"/>
      <c r="W80" s="1"/>
      <c r="X80" s="1">
        <v>13.0</v>
      </c>
      <c r="Y80" s="1" t="s">
        <v>232</v>
      </c>
      <c r="Z80" s="1">
        <v>5.0</v>
      </c>
      <c r="AA80" s="1" t="s">
        <v>232</v>
      </c>
      <c r="AB80" s="1" t="s">
        <v>232</v>
      </c>
      <c r="AC80" s="1" t="s">
        <v>232</v>
      </c>
      <c r="AD80" s="1"/>
      <c r="AE80" s="1" t="s">
        <v>232</v>
      </c>
      <c r="AF80" s="1" t="s">
        <v>232</v>
      </c>
      <c r="AG80" s="1" t="s">
        <v>232</v>
      </c>
      <c r="AH80" s="1" t="s">
        <v>232</v>
      </c>
      <c r="AI80" s="1" t="s">
        <v>232</v>
      </c>
      <c r="AJ80" s="1"/>
      <c r="AK80" s="1" t="s">
        <v>232</v>
      </c>
      <c r="AL80" s="1" t="s">
        <v>232</v>
      </c>
      <c r="AM80" s="1"/>
      <c r="AN80" s="1" t="s">
        <v>232</v>
      </c>
      <c r="AO80" s="1" t="s">
        <v>262</v>
      </c>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2">
        <v>13.4</v>
      </c>
    </row>
    <row r="81" ht="15.75" customHeight="1">
      <c r="A81" s="11" t="s">
        <v>286</v>
      </c>
      <c r="B81" s="1" t="s">
        <v>232</v>
      </c>
      <c r="C81" s="1" t="s">
        <v>287</v>
      </c>
      <c r="D81" s="1"/>
      <c r="E81" s="1" t="s">
        <v>232</v>
      </c>
      <c r="F81" s="1"/>
      <c r="G81" s="1" t="s">
        <v>232</v>
      </c>
      <c r="H81" s="1" t="s">
        <v>262</v>
      </c>
      <c r="I81" s="1" t="s">
        <v>232</v>
      </c>
      <c r="J81" s="1" t="s">
        <v>232</v>
      </c>
      <c r="K81" s="1" t="s">
        <v>232</v>
      </c>
      <c r="L81" s="1" t="s">
        <v>232</v>
      </c>
      <c r="M81" s="1" t="s">
        <v>232</v>
      </c>
      <c r="N81" s="1" t="s">
        <v>232</v>
      </c>
      <c r="O81" s="1" t="s">
        <v>232</v>
      </c>
      <c r="P81" s="1"/>
      <c r="Q81" s="1" t="s">
        <v>232</v>
      </c>
      <c r="R81" s="1" t="s">
        <v>232</v>
      </c>
      <c r="S81" s="1" t="s">
        <v>232</v>
      </c>
      <c r="T81" s="1" t="s">
        <v>232</v>
      </c>
      <c r="U81" s="1" t="s">
        <v>232</v>
      </c>
      <c r="V81" s="1"/>
      <c r="W81" s="1"/>
      <c r="X81" s="1" t="s">
        <v>232</v>
      </c>
      <c r="Y81" s="1" t="s">
        <v>232</v>
      </c>
      <c r="Z81" s="1" t="s">
        <v>232</v>
      </c>
      <c r="AA81" s="1" t="s">
        <v>232</v>
      </c>
      <c r="AB81" s="1" t="s">
        <v>232</v>
      </c>
      <c r="AC81" s="1" t="s">
        <v>232</v>
      </c>
      <c r="AD81" s="1"/>
      <c r="AE81" s="1" t="s">
        <v>232</v>
      </c>
      <c r="AF81" s="1" t="s">
        <v>232</v>
      </c>
      <c r="AG81" s="1" t="s">
        <v>232</v>
      </c>
      <c r="AH81" s="1" t="s">
        <v>232</v>
      </c>
      <c r="AI81" s="1" t="s">
        <v>232</v>
      </c>
      <c r="AJ81" s="1"/>
      <c r="AK81" s="1" t="s">
        <v>232</v>
      </c>
      <c r="AL81" s="1" t="s">
        <v>232</v>
      </c>
      <c r="AM81" s="1"/>
      <c r="AN81" s="1" t="s">
        <v>232</v>
      </c>
      <c r="AO81" s="1" t="s">
        <v>262</v>
      </c>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2">
        <v>10.0</v>
      </c>
    </row>
    <row r="82" ht="15.75" customHeight="1">
      <c r="A82" s="11" t="s">
        <v>288</v>
      </c>
      <c r="B82" s="1">
        <v>2.0</v>
      </c>
      <c r="C82" s="1">
        <v>2.0</v>
      </c>
      <c r="D82" s="1"/>
      <c r="E82" s="1">
        <v>2.0</v>
      </c>
      <c r="F82" s="1"/>
      <c r="G82" s="1">
        <v>2.0</v>
      </c>
      <c r="H82" s="1">
        <v>2.0</v>
      </c>
      <c r="I82" s="1">
        <v>1.0</v>
      </c>
      <c r="J82" s="1">
        <v>1.0</v>
      </c>
      <c r="K82" s="1">
        <v>2.0</v>
      </c>
      <c r="L82" s="1">
        <v>1.0</v>
      </c>
      <c r="M82" s="1">
        <v>2.0</v>
      </c>
      <c r="N82" s="1">
        <v>2.5</v>
      </c>
      <c r="O82" s="1">
        <v>1.0</v>
      </c>
      <c r="P82" s="1"/>
      <c r="Q82" s="1">
        <v>1.5</v>
      </c>
      <c r="R82" s="1">
        <v>1.0</v>
      </c>
      <c r="S82" s="1">
        <v>1.5</v>
      </c>
      <c r="T82" s="1">
        <v>1.0</v>
      </c>
      <c r="U82" s="1">
        <v>1.0</v>
      </c>
      <c r="V82" s="1"/>
      <c r="W82" s="1"/>
      <c r="X82" s="1">
        <v>2.5</v>
      </c>
      <c r="Y82" s="1">
        <v>1.0</v>
      </c>
      <c r="Z82" s="1">
        <v>3.0</v>
      </c>
      <c r="AA82" s="1">
        <v>2.0</v>
      </c>
      <c r="AB82" s="1">
        <v>1.0</v>
      </c>
      <c r="AC82" s="1">
        <v>1.0</v>
      </c>
      <c r="AD82" s="1"/>
      <c r="AE82" s="1">
        <v>1.0</v>
      </c>
      <c r="AF82" s="1">
        <v>1.0</v>
      </c>
      <c r="AG82" s="1">
        <v>2.5</v>
      </c>
      <c r="AH82" s="1">
        <v>2.0</v>
      </c>
      <c r="AI82" s="1">
        <v>2.0</v>
      </c>
      <c r="AJ82" s="1"/>
      <c r="AK82" s="1">
        <v>2.0</v>
      </c>
      <c r="AL82" s="1">
        <v>1.0</v>
      </c>
      <c r="AM82" s="1"/>
      <c r="AN82" s="1">
        <v>1.0</v>
      </c>
      <c r="AO82" s="1">
        <v>1.0</v>
      </c>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2">
        <v>1.0</v>
      </c>
    </row>
    <row r="83" ht="15.75" customHeight="1">
      <c r="A83" s="11" t="s">
        <v>234</v>
      </c>
      <c r="B83" s="1">
        <v>50.0</v>
      </c>
      <c r="C83" s="1">
        <v>52.0</v>
      </c>
      <c r="D83" s="1"/>
      <c r="E83" s="1">
        <v>58.0</v>
      </c>
      <c r="F83" s="1"/>
      <c r="G83" s="1">
        <v>34.0</v>
      </c>
      <c r="H83" s="1">
        <v>54.0</v>
      </c>
      <c r="I83" s="1" t="s">
        <v>232</v>
      </c>
      <c r="J83" s="1" t="s">
        <v>232</v>
      </c>
      <c r="K83" s="1" t="s">
        <v>232</v>
      </c>
      <c r="L83" s="1" t="s">
        <v>232</v>
      </c>
      <c r="M83" s="1" t="s">
        <v>232</v>
      </c>
      <c r="N83" s="1" t="s">
        <v>232</v>
      </c>
      <c r="O83" s="1" t="s">
        <v>232</v>
      </c>
      <c r="P83" s="1"/>
      <c r="Q83" s="1">
        <v>32.0</v>
      </c>
      <c r="R83" s="1" t="s">
        <v>232</v>
      </c>
      <c r="S83" s="1">
        <v>35.0</v>
      </c>
      <c r="T83" s="1">
        <v>43.0</v>
      </c>
      <c r="U83" s="1" t="s">
        <v>232</v>
      </c>
      <c r="V83" s="1"/>
      <c r="W83" s="1"/>
      <c r="X83" s="1">
        <v>82.0</v>
      </c>
      <c r="Y83" s="1">
        <v>41.0</v>
      </c>
      <c r="Z83" s="1">
        <v>44.0</v>
      </c>
      <c r="AA83" s="1">
        <v>56.0</v>
      </c>
      <c r="AB83" s="1">
        <v>27.0</v>
      </c>
      <c r="AC83" s="1" t="s">
        <v>232</v>
      </c>
      <c r="AD83" s="1"/>
      <c r="AE83" s="1" t="s">
        <v>232</v>
      </c>
      <c r="AF83" s="1">
        <v>37.0</v>
      </c>
      <c r="AG83" s="1">
        <v>31.0</v>
      </c>
      <c r="AH83" s="1">
        <v>55.0</v>
      </c>
      <c r="AI83" s="1">
        <v>65.0</v>
      </c>
      <c r="AJ83" s="1"/>
      <c r="AK83" s="1">
        <v>32.0</v>
      </c>
      <c r="AL83" s="1" t="s">
        <v>232</v>
      </c>
      <c r="AM83" s="1"/>
      <c r="AN83" s="1" t="s">
        <v>232</v>
      </c>
      <c r="AO83" s="1">
        <v>36.0</v>
      </c>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2" t="s">
        <v>232</v>
      </c>
    </row>
    <row r="84" ht="15.75" customHeight="1">
      <c r="A84" s="11" t="s">
        <v>289</v>
      </c>
      <c r="B84" s="1">
        <v>6.0</v>
      </c>
      <c r="C84" s="1">
        <v>6.92</v>
      </c>
      <c r="D84" s="1"/>
      <c r="E84" s="1">
        <v>6.96</v>
      </c>
      <c r="F84" s="1"/>
      <c r="G84" s="1">
        <v>7.0</v>
      </c>
      <c r="H84" s="1">
        <v>6.0</v>
      </c>
      <c r="I84" s="1">
        <v>6.25</v>
      </c>
      <c r="J84" s="1">
        <v>6.45</v>
      </c>
      <c r="K84" s="1">
        <v>6.81</v>
      </c>
      <c r="L84" s="1">
        <v>6.89</v>
      </c>
      <c r="M84" s="1">
        <v>7.12</v>
      </c>
      <c r="N84" s="1">
        <v>5.44</v>
      </c>
      <c r="O84" s="1">
        <v>6.73</v>
      </c>
      <c r="P84" s="1"/>
      <c r="Q84" s="1">
        <v>5.8</v>
      </c>
      <c r="R84" s="1" t="s">
        <v>232</v>
      </c>
      <c r="S84" s="1">
        <v>7.38</v>
      </c>
      <c r="T84" s="1">
        <v>6.57</v>
      </c>
      <c r="U84" s="1">
        <v>5.73</v>
      </c>
      <c r="V84" s="1"/>
      <c r="W84" s="1"/>
      <c r="X84" s="1">
        <v>5.87</v>
      </c>
      <c r="Y84" s="1">
        <v>5.7</v>
      </c>
      <c r="Z84" s="1">
        <v>4.98</v>
      </c>
      <c r="AA84" s="1">
        <v>8.46</v>
      </c>
      <c r="AB84" s="1">
        <v>7.37</v>
      </c>
      <c r="AC84" s="1" t="s">
        <v>232</v>
      </c>
      <c r="AD84" s="1"/>
      <c r="AE84" s="1">
        <v>7.72</v>
      </c>
      <c r="AF84" s="1">
        <v>7.75</v>
      </c>
      <c r="AG84" s="1" t="s">
        <v>232</v>
      </c>
      <c r="AH84" s="1">
        <v>6.4</v>
      </c>
      <c r="AI84" s="1">
        <v>5.7</v>
      </c>
      <c r="AJ84" s="1"/>
      <c r="AK84" s="1">
        <v>4.65</v>
      </c>
      <c r="AL84" s="1">
        <v>7.6</v>
      </c>
      <c r="AM84" s="1"/>
      <c r="AN84" s="2" t="s">
        <v>232</v>
      </c>
      <c r="AO84" s="1">
        <v>5.1</v>
      </c>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2" t="s">
        <v>232</v>
      </c>
    </row>
    <row r="85" ht="15.75" customHeight="1">
      <c r="A85" s="11" t="s">
        <v>290</v>
      </c>
      <c r="B85" s="1">
        <v>1.0</v>
      </c>
      <c r="C85" s="1">
        <v>1.0</v>
      </c>
      <c r="D85" s="1"/>
      <c r="E85" s="1">
        <v>1.0</v>
      </c>
      <c r="F85" s="1"/>
      <c r="G85" s="1" t="s">
        <v>232</v>
      </c>
      <c r="H85" s="1" t="s">
        <v>262</v>
      </c>
      <c r="I85" s="1" t="s">
        <v>232</v>
      </c>
      <c r="J85" s="1" t="s">
        <v>232</v>
      </c>
      <c r="K85" s="1" t="s">
        <v>232</v>
      </c>
      <c r="L85" s="1" t="s">
        <v>232</v>
      </c>
      <c r="M85" s="1" t="s">
        <v>232</v>
      </c>
      <c r="N85" s="1" t="s">
        <v>232</v>
      </c>
      <c r="O85" s="1">
        <v>0.0</v>
      </c>
      <c r="P85" s="1"/>
      <c r="Q85" s="1">
        <v>1.0</v>
      </c>
      <c r="R85" s="1" t="s">
        <v>232</v>
      </c>
      <c r="S85" s="1" t="s">
        <v>232</v>
      </c>
      <c r="T85" s="1">
        <v>0.0</v>
      </c>
      <c r="U85" s="1">
        <v>0.0</v>
      </c>
      <c r="V85" s="1"/>
      <c r="W85" s="1"/>
      <c r="X85" s="1">
        <v>0.0</v>
      </c>
      <c r="Y85" s="1">
        <v>0.0</v>
      </c>
      <c r="Z85" s="1">
        <v>0.0</v>
      </c>
      <c r="AA85" s="1">
        <v>0.0</v>
      </c>
      <c r="AB85" s="1">
        <v>0.0</v>
      </c>
      <c r="AC85" s="1" t="s">
        <v>232</v>
      </c>
      <c r="AD85" s="1"/>
      <c r="AE85" s="1" t="s">
        <v>232</v>
      </c>
      <c r="AF85" s="1">
        <v>0.0</v>
      </c>
      <c r="AG85" s="1" t="s">
        <v>232</v>
      </c>
      <c r="AH85" s="1">
        <v>0.0</v>
      </c>
      <c r="AI85" s="1">
        <v>0.0</v>
      </c>
      <c r="AJ85" s="1"/>
      <c r="AK85" s="1">
        <v>0.0</v>
      </c>
      <c r="AL85" s="1">
        <v>0.0</v>
      </c>
      <c r="AM85" s="1"/>
      <c r="AN85" s="1">
        <v>0.0</v>
      </c>
      <c r="AO85" s="1">
        <v>0.0</v>
      </c>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2" t="s">
        <v>232</v>
      </c>
    </row>
    <row r="86" ht="15.75" customHeight="1">
      <c r="A86" s="15" t="s">
        <v>291</v>
      </c>
      <c r="B86" s="1" t="s">
        <v>232</v>
      </c>
      <c r="C86" s="1">
        <v>0.0</v>
      </c>
      <c r="D86" s="1"/>
      <c r="E86" s="1">
        <v>0.0</v>
      </c>
      <c r="F86" s="1"/>
      <c r="G86" s="1" t="s">
        <v>232</v>
      </c>
      <c r="H86" s="1" t="s">
        <v>262</v>
      </c>
      <c r="I86" s="1" t="s">
        <v>232</v>
      </c>
      <c r="J86" s="1" t="s">
        <v>232</v>
      </c>
      <c r="K86" s="1" t="s">
        <v>232</v>
      </c>
      <c r="L86" s="1" t="s">
        <v>232</v>
      </c>
      <c r="M86" s="1" t="s">
        <v>232</v>
      </c>
      <c r="N86" s="1" t="s">
        <v>232</v>
      </c>
      <c r="O86" s="1">
        <v>0.0</v>
      </c>
      <c r="P86" s="1"/>
      <c r="Q86" s="1" t="s">
        <v>232</v>
      </c>
      <c r="R86" s="1" t="s">
        <v>232</v>
      </c>
      <c r="S86" s="1" t="s">
        <v>232</v>
      </c>
      <c r="T86" s="1">
        <v>0.0</v>
      </c>
      <c r="U86" s="1">
        <v>0.0</v>
      </c>
      <c r="V86" s="1"/>
      <c r="W86" s="1"/>
      <c r="X86" s="1">
        <v>0.0</v>
      </c>
      <c r="Y86" s="1">
        <v>0.0</v>
      </c>
      <c r="Z86" s="1">
        <v>0.0</v>
      </c>
      <c r="AA86" s="1">
        <v>0.0</v>
      </c>
      <c r="AB86" s="1">
        <v>0.0</v>
      </c>
      <c r="AC86" s="1">
        <v>0.0</v>
      </c>
      <c r="AD86" s="1"/>
      <c r="AE86" s="1" t="s">
        <v>232</v>
      </c>
      <c r="AF86" s="1">
        <v>0.0</v>
      </c>
      <c r="AG86" s="1" t="s">
        <v>232</v>
      </c>
      <c r="AH86" s="1">
        <v>0.0</v>
      </c>
      <c r="AI86" s="1">
        <v>0.0</v>
      </c>
      <c r="AJ86" s="1"/>
      <c r="AK86" s="1">
        <v>0.0</v>
      </c>
      <c r="AL86" s="1">
        <v>0.0</v>
      </c>
      <c r="AM86" s="1"/>
      <c r="AN86" s="1">
        <v>0.0</v>
      </c>
      <c r="AO86" s="1">
        <v>0.0</v>
      </c>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2" t="s">
        <v>232</v>
      </c>
    </row>
    <row r="87" ht="15.75" customHeight="1">
      <c r="A87" s="4" t="s">
        <v>297</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row>
    <row r="88" ht="15.75" customHeight="1">
      <c r="A88" s="11" t="s">
        <v>298</v>
      </c>
      <c r="B88" s="1">
        <v>133.0</v>
      </c>
      <c r="C88" s="1">
        <v>130.0</v>
      </c>
      <c r="D88" s="1"/>
      <c r="E88" s="1">
        <v>137.0</v>
      </c>
      <c r="F88" s="1"/>
      <c r="G88" s="1">
        <v>137.0</v>
      </c>
      <c r="H88" s="1">
        <v>134.0</v>
      </c>
      <c r="I88" s="1">
        <v>135.0</v>
      </c>
      <c r="J88" s="1">
        <v>138.0</v>
      </c>
      <c r="K88" s="1">
        <v>135.0</v>
      </c>
      <c r="L88" s="1">
        <v>139.0</v>
      </c>
      <c r="M88" s="1">
        <v>130.0</v>
      </c>
      <c r="N88" s="1">
        <v>128.0</v>
      </c>
      <c r="O88" s="1">
        <v>137.0</v>
      </c>
      <c r="P88" s="1"/>
      <c r="Q88" s="1">
        <v>140.0</v>
      </c>
      <c r="R88" s="1">
        <v>133.0</v>
      </c>
      <c r="S88" s="1">
        <v>133.0</v>
      </c>
      <c r="T88" s="1">
        <v>132.0</v>
      </c>
      <c r="U88" s="1">
        <v>139.0</v>
      </c>
      <c r="V88" s="1"/>
      <c r="W88" s="1"/>
      <c r="X88" s="1">
        <v>136.0</v>
      </c>
      <c r="Y88" s="1">
        <v>131.0</v>
      </c>
      <c r="Z88" s="1">
        <v>135.0</v>
      </c>
      <c r="AA88" s="1">
        <v>134.0</v>
      </c>
      <c r="AB88" s="1">
        <v>144.0</v>
      </c>
      <c r="AC88" s="1">
        <v>137.0</v>
      </c>
      <c r="AD88" s="1"/>
      <c r="AE88" s="1">
        <v>138.0</v>
      </c>
      <c r="AF88" s="1">
        <v>134.0</v>
      </c>
      <c r="AG88" s="1">
        <v>133.0</v>
      </c>
      <c r="AH88" s="1">
        <v>135.0</v>
      </c>
      <c r="AI88" s="1">
        <v>141.0</v>
      </c>
      <c r="AJ88" s="1"/>
      <c r="AK88" s="1">
        <v>124.0</v>
      </c>
      <c r="AL88" s="1">
        <v>132.0</v>
      </c>
      <c r="AM88" s="1"/>
      <c r="AN88" s="1">
        <v>137.0</v>
      </c>
      <c r="AO88" s="1">
        <v>130.0</v>
      </c>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2">
        <v>138.0</v>
      </c>
    </row>
    <row r="89" ht="15.75" customHeight="1">
      <c r="A89" s="11" t="s">
        <v>299</v>
      </c>
      <c r="B89" s="1">
        <v>4.4</v>
      </c>
      <c r="C89" s="1">
        <v>4.2</v>
      </c>
      <c r="D89" s="1"/>
      <c r="E89" s="1">
        <v>4.2</v>
      </c>
      <c r="F89" s="1"/>
      <c r="G89" s="1">
        <v>4.2</v>
      </c>
      <c r="H89" s="1">
        <v>4.0</v>
      </c>
      <c r="I89" s="1">
        <v>3.8</v>
      </c>
      <c r="J89" s="1">
        <v>4.6</v>
      </c>
      <c r="K89" s="1">
        <v>3.9</v>
      </c>
      <c r="L89" s="1">
        <v>4.6</v>
      </c>
      <c r="M89" s="1">
        <v>4.7</v>
      </c>
      <c r="N89" s="1">
        <v>2.7</v>
      </c>
      <c r="O89" s="1">
        <v>4.8</v>
      </c>
      <c r="P89" s="1"/>
      <c r="Q89" s="1">
        <v>3.6</v>
      </c>
      <c r="R89" s="1">
        <v>4.6</v>
      </c>
      <c r="S89" s="1">
        <v>3.5</v>
      </c>
      <c r="T89" s="1">
        <v>4.5</v>
      </c>
      <c r="U89" s="1">
        <v>4.2</v>
      </c>
      <c r="V89" s="1"/>
      <c r="W89" s="1"/>
      <c r="X89" s="1">
        <v>5.2</v>
      </c>
      <c r="Y89" s="1">
        <v>4.8</v>
      </c>
      <c r="Z89" s="1">
        <v>4.1</v>
      </c>
      <c r="AA89" s="1">
        <v>3.9</v>
      </c>
      <c r="AB89" s="1">
        <v>4.1</v>
      </c>
      <c r="AC89" s="1">
        <v>4.8</v>
      </c>
      <c r="AD89" s="1"/>
      <c r="AE89" s="1">
        <v>4.6</v>
      </c>
      <c r="AF89" s="1">
        <v>4.2</v>
      </c>
      <c r="AG89" s="1">
        <v>4.0</v>
      </c>
      <c r="AH89" s="1">
        <v>5.1</v>
      </c>
      <c r="AI89" s="1">
        <v>4.0</v>
      </c>
      <c r="AJ89" s="1"/>
      <c r="AK89" s="1">
        <v>4.2</v>
      </c>
      <c r="AL89" s="1">
        <v>4.2</v>
      </c>
      <c r="AM89" s="1"/>
      <c r="AN89" s="1">
        <v>4.3</v>
      </c>
      <c r="AO89" s="1">
        <v>5.3</v>
      </c>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2">
        <v>4.3</v>
      </c>
    </row>
    <row r="90" ht="15.75" customHeight="1">
      <c r="A90" s="11" t="s">
        <v>300</v>
      </c>
      <c r="B90" s="1">
        <v>21.0</v>
      </c>
      <c r="C90" s="1">
        <v>23.0</v>
      </c>
      <c r="D90" s="1"/>
      <c r="E90" s="1">
        <v>29.0</v>
      </c>
      <c r="F90" s="1"/>
      <c r="G90" s="1">
        <v>25.0</v>
      </c>
      <c r="H90" s="1">
        <v>23.0</v>
      </c>
      <c r="I90" s="1">
        <v>24.0</v>
      </c>
      <c r="J90" s="1">
        <v>23.0</v>
      </c>
      <c r="K90" s="1">
        <v>23.0</v>
      </c>
      <c r="L90" s="1">
        <v>22.0</v>
      </c>
      <c r="M90" s="1">
        <v>25.0</v>
      </c>
      <c r="N90" s="1">
        <v>27.0</v>
      </c>
      <c r="O90" s="1">
        <v>19.0</v>
      </c>
      <c r="P90" s="1"/>
      <c r="Q90" s="1">
        <v>29.0</v>
      </c>
      <c r="R90" s="1">
        <v>25.0</v>
      </c>
      <c r="S90" s="1">
        <v>23.0</v>
      </c>
      <c r="T90" s="1">
        <v>25.0</v>
      </c>
      <c r="U90" s="1">
        <v>22.0</v>
      </c>
      <c r="V90" s="1"/>
      <c r="W90" s="1"/>
      <c r="X90" s="1">
        <v>20.0</v>
      </c>
      <c r="Y90" s="1">
        <v>23.0</v>
      </c>
      <c r="Z90" s="1">
        <v>21.0</v>
      </c>
      <c r="AA90" s="1">
        <v>24.0</v>
      </c>
      <c r="AB90" s="1">
        <v>31.0</v>
      </c>
      <c r="AC90" s="1">
        <v>24.0</v>
      </c>
      <c r="AD90" s="1"/>
      <c r="AE90" s="1">
        <v>20.0</v>
      </c>
      <c r="AF90" s="1">
        <v>28.0</v>
      </c>
      <c r="AG90" s="1">
        <v>26.0</v>
      </c>
      <c r="AH90" s="1">
        <v>23.0</v>
      </c>
      <c r="AI90" s="1">
        <v>29.0</v>
      </c>
      <c r="AJ90" s="1"/>
      <c r="AK90" s="1">
        <v>27.0</v>
      </c>
      <c r="AL90" s="1">
        <v>31.0</v>
      </c>
      <c r="AM90" s="1"/>
      <c r="AN90" s="1">
        <v>28.0</v>
      </c>
      <c r="AO90" s="1">
        <v>19.0</v>
      </c>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2">
        <v>20.0</v>
      </c>
    </row>
    <row r="91" ht="15.75" customHeight="1">
      <c r="A91" s="11" t="s">
        <v>301</v>
      </c>
      <c r="B91" s="1">
        <v>2.5</v>
      </c>
      <c r="C91" s="1">
        <v>1.1</v>
      </c>
      <c r="D91" s="1"/>
      <c r="E91" s="1">
        <v>4.9</v>
      </c>
      <c r="F91" s="1"/>
      <c r="G91" s="1">
        <v>0.7</v>
      </c>
      <c r="H91" s="1">
        <v>0.9</v>
      </c>
      <c r="I91" s="1">
        <v>1.3</v>
      </c>
      <c r="J91" s="1">
        <v>1.1</v>
      </c>
      <c r="K91" s="1">
        <v>2.2</v>
      </c>
      <c r="L91" s="1">
        <v>1.4</v>
      </c>
      <c r="M91" s="1">
        <v>1.2</v>
      </c>
      <c r="N91" s="1">
        <v>1.5</v>
      </c>
      <c r="O91" s="1">
        <v>1.5</v>
      </c>
      <c r="P91" s="1"/>
      <c r="Q91" s="1">
        <v>1.2</v>
      </c>
      <c r="R91" s="1">
        <v>0.9</v>
      </c>
      <c r="S91" s="1">
        <v>1.5</v>
      </c>
      <c r="T91" s="1">
        <v>1.8</v>
      </c>
      <c r="U91" s="1">
        <v>1.0</v>
      </c>
      <c r="V91" s="1"/>
      <c r="W91" s="1"/>
      <c r="X91" s="1">
        <v>1.6</v>
      </c>
      <c r="Y91" s="1">
        <v>1.7</v>
      </c>
      <c r="Z91" s="1">
        <v>1.3</v>
      </c>
      <c r="AA91" s="1">
        <v>1.0</v>
      </c>
      <c r="AB91" s="1">
        <v>1.7</v>
      </c>
      <c r="AC91" s="1">
        <v>2.4</v>
      </c>
      <c r="AD91" s="1"/>
      <c r="AE91" s="1">
        <v>1.5</v>
      </c>
      <c r="AF91" s="1">
        <v>1.5</v>
      </c>
      <c r="AG91" s="1">
        <v>1.3</v>
      </c>
      <c r="AH91" s="1">
        <v>1.5</v>
      </c>
      <c r="AI91" s="1">
        <v>1.1</v>
      </c>
      <c r="AJ91" s="1"/>
      <c r="AK91" s="1">
        <v>2.2</v>
      </c>
      <c r="AL91" s="1">
        <v>2.2</v>
      </c>
      <c r="AM91" s="1"/>
      <c r="AN91" s="1">
        <v>1.1</v>
      </c>
      <c r="AO91" s="1">
        <v>2.8</v>
      </c>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2">
        <v>5.66</v>
      </c>
    </row>
    <row r="92" ht="15.75" customHeight="1">
      <c r="A92" s="11" t="s">
        <v>302</v>
      </c>
      <c r="B92" s="1">
        <v>29.0</v>
      </c>
      <c r="C92" s="1">
        <v>83.0</v>
      </c>
      <c r="D92" s="1"/>
      <c r="E92" s="1">
        <v>13.0</v>
      </c>
      <c r="F92" s="1"/>
      <c r="G92" s="1">
        <v>119.0</v>
      </c>
      <c r="H92" s="1">
        <v>87.0</v>
      </c>
      <c r="I92" s="1">
        <v>63.0</v>
      </c>
      <c r="J92" s="1">
        <v>83.0</v>
      </c>
      <c r="K92" s="1">
        <v>33.0</v>
      </c>
      <c r="L92" s="1">
        <v>59.0</v>
      </c>
      <c r="M92" s="1">
        <v>67.0</v>
      </c>
      <c r="N92" s="1">
        <v>58.0</v>
      </c>
      <c r="O92" s="1">
        <v>39.0</v>
      </c>
      <c r="P92" s="1"/>
      <c r="Q92" s="1">
        <v>51.0</v>
      </c>
      <c r="R92" s="1">
        <v>96.0</v>
      </c>
      <c r="S92" s="1">
        <v>55.0</v>
      </c>
      <c r="T92" s="1">
        <v>42.0</v>
      </c>
      <c r="U92" s="1">
        <v>85.0</v>
      </c>
      <c r="V92" s="1"/>
      <c r="W92" s="1"/>
      <c r="X92" s="1">
        <v>36.0</v>
      </c>
      <c r="Y92" s="1">
        <v>36.0</v>
      </c>
      <c r="Z92" s="1">
        <v>63.0</v>
      </c>
      <c r="AA92" s="1">
        <v>91.0</v>
      </c>
      <c r="AB92" s="1">
        <v>34.0</v>
      </c>
      <c r="AC92" s="1">
        <v>27.0</v>
      </c>
      <c r="AD92" s="1"/>
      <c r="AE92" s="1">
        <v>55.0</v>
      </c>
      <c r="AF92" s="1">
        <v>56.0</v>
      </c>
      <c r="AG92" s="1">
        <v>60.0</v>
      </c>
      <c r="AH92" s="1">
        <v>56.0</v>
      </c>
      <c r="AI92" s="1">
        <v>55.0</v>
      </c>
      <c r="AJ92" s="1"/>
      <c r="AK92" s="1">
        <v>23.0</v>
      </c>
      <c r="AL92" s="1">
        <v>34.0</v>
      </c>
      <c r="AM92" s="1"/>
      <c r="AN92" s="1">
        <v>48.0</v>
      </c>
      <c r="AO92" s="1">
        <v>24.0</v>
      </c>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2">
        <v>10.0</v>
      </c>
    </row>
    <row r="93" ht="15.75" customHeight="1">
      <c r="A93" s="11" t="s">
        <v>303</v>
      </c>
      <c r="B93" s="1">
        <v>14.3</v>
      </c>
      <c r="C93" s="1">
        <v>11.0</v>
      </c>
      <c r="D93" s="1"/>
      <c r="E93" s="1">
        <v>10.6</v>
      </c>
      <c r="F93" s="1"/>
      <c r="G93" s="1">
        <v>12.1</v>
      </c>
      <c r="H93" s="1">
        <v>9.8</v>
      </c>
      <c r="I93" s="1">
        <v>8.4</v>
      </c>
      <c r="J93" s="1">
        <v>16.9</v>
      </c>
      <c r="K93" s="1">
        <v>11.2</v>
      </c>
      <c r="L93" s="1">
        <v>13.3</v>
      </c>
      <c r="M93" s="1">
        <v>13.7</v>
      </c>
      <c r="N93" s="1">
        <v>10.9</v>
      </c>
      <c r="O93" s="1">
        <v>8.9</v>
      </c>
      <c r="P93" s="1"/>
      <c r="Q93" s="1">
        <v>10.1</v>
      </c>
      <c r="R93" s="1">
        <v>14.2</v>
      </c>
      <c r="S93" s="1">
        <v>13.0</v>
      </c>
      <c r="T93" s="1">
        <v>12.9</v>
      </c>
      <c r="U93" s="1">
        <v>13.5</v>
      </c>
      <c r="V93" s="1"/>
      <c r="W93" s="1"/>
      <c r="X93" s="1">
        <v>7.8</v>
      </c>
      <c r="Y93" s="1">
        <v>12.0</v>
      </c>
      <c r="Z93" s="1">
        <v>9.4</v>
      </c>
      <c r="AA93" s="1">
        <v>14.0</v>
      </c>
      <c r="AB93" s="1">
        <v>10.8</v>
      </c>
      <c r="AC93" s="1">
        <v>12.8</v>
      </c>
      <c r="AD93" s="1"/>
      <c r="AE93" s="1">
        <v>12.9</v>
      </c>
      <c r="AF93" s="1">
        <v>14.5</v>
      </c>
      <c r="AG93" s="1">
        <v>8.9</v>
      </c>
      <c r="AH93" s="1">
        <v>11.0</v>
      </c>
      <c r="AI93" s="1">
        <v>14.9</v>
      </c>
      <c r="AJ93" s="1"/>
      <c r="AK93" s="1">
        <v>11.6</v>
      </c>
      <c r="AL93" s="1">
        <v>11.3</v>
      </c>
      <c r="AM93" s="1"/>
      <c r="AN93" s="1">
        <v>9.4</v>
      </c>
      <c r="AO93" s="1">
        <v>11.4</v>
      </c>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2">
        <v>10.0</v>
      </c>
    </row>
    <row r="94" ht="15.75" customHeight="1">
      <c r="A94" s="11" t="s">
        <v>304</v>
      </c>
      <c r="B94" s="1">
        <v>5.27</v>
      </c>
      <c r="C94" s="1">
        <v>4.9</v>
      </c>
      <c r="D94" s="1"/>
      <c r="E94" s="1">
        <v>6.86</v>
      </c>
      <c r="F94" s="1"/>
      <c r="G94" s="1">
        <v>8.3</v>
      </c>
      <c r="H94" s="1">
        <v>9.8</v>
      </c>
      <c r="I94" s="1">
        <v>6.0</v>
      </c>
      <c r="J94" s="1">
        <v>13.38</v>
      </c>
      <c r="K94" s="1">
        <v>5.16</v>
      </c>
      <c r="L94" s="1">
        <v>8.96</v>
      </c>
      <c r="M94" s="1">
        <v>7.03</v>
      </c>
      <c r="N94" s="1">
        <v>6.04</v>
      </c>
      <c r="O94" s="1">
        <v>7.65</v>
      </c>
      <c r="P94" s="1"/>
      <c r="Q94" s="1">
        <v>6.38</v>
      </c>
      <c r="R94" s="1">
        <v>7.36</v>
      </c>
      <c r="S94" s="1">
        <v>6.48</v>
      </c>
      <c r="T94" s="1">
        <v>4.43</v>
      </c>
      <c r="U94" s="1">
        <v>3.96</v>
      </c>
      <c r="V94" s="1"/>
      <c r="W94" s="1"/>
      <c r="X94" s="1">
        <v>11.18</v>
      </c>
      <c r="Y94" s="1">
        <v>6.93</v>
      </c>
      <c r="Z94" s="1">
        <v>6.85</v>
      </c>
      <c r="AA94" s="1">
        <v>8.6</v>
      </c>
      <c r="AB94" s="1">
        <v>9.74</v>
      </c>
      <c r="AC94" s="1">
        <v>7.0</v>
      </c>
      <c r="AD94" s="1"/>
      <c r="AE94" s="1">
        <v>5.54</v>
      </c>
      <c r="AF94" s="1">
        <v>8.79</v>
      </c>
      <c r="AG94" s="1">
        <v>9.86</v>
      </c>
      <c r="AH94" s="1">
        <v>3.37</v>
      </c>
      <c r="AI94" s="1">
        <v>9.5</v>
      </c>
      <c r="AJ94" s="1"/>
      <c r="AK94" s="1">
        <v>7.2</v>
      </c>
      <c r="AL94" s="1">
        <v>9.8</v>
      </c>
      <c r="AM94" s="1"/>
      <c r="AN94" s="1">
        <v>9.5</v>
      </c>
      <c r="AO94" s="1">
        <v>5.9</v>
      </c>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2">
        <v>5.3</v>
      </c>
    </row>
    <row r="95" ht="15.75" customHeight="1">
      <c r="A95" s="11" t="s">
        <v>305</v>
      </c>
      <c r="B95" s="1">
        <v>20.0</v>
      </c>
      <c r="C95" s="1">
        <v>14.0</v>
      </c>
      <c r="D95" s="1"/>
      <c r="E95" s="1">
        <v>34.0</v>
      </c>
      <c r="F95" s="1"/>
      <c r="G95" s="1">
        <v>18.0</v>
      </c>
      <c r="H95" s="1">
        <v>29.0</v>
      </c>
      <c r="I95" s="1">
        <v>20.0</v>
      </c>
      <c r="J95" s="1">
        <v>20.0</v>
      </c>
      <c r="K95" s="1">
        <v>17.0</v>
      </c>
      <c r="L95" s="1">
        <v>18.0</v>
      </c>
      <c r="M95" s="1">
        <v>24.0</v>
      </c>
      <c r="N95" s="1">
        <v>87.0</v>
      </c>
      <c r="O95" s="1">
        <v>25.0</v>
      </c>
      <c r="P95" s="1"/>
      <c r="Q95" s="1">
        <v>17.0</v>
      </c>
      <c r="R95" s="1">
        <v>34.0</v>
      </c>
      <c r="S95" s="1">
        <v>23.0</v>
      </c>
      <c r="T95" s="1">
        <v>18.0</v>
      </c>
      <c r="U95" s="1">
        <v>12.0</v>
      </c>
      <c r="V95" s="1"/>
      <c r="W95" s="1"/>
      <c r="X95" s="1">
        <v>29.0</v>
      </c>
      <c r="Y95" s="1">
        <v>153.0</v>
      </c>
      <c r="Z95" s="1">
        <v>26.0</v>
      </c>
      <c r="AA95" s="1">
        <v>15.0</v>
      </c>
      <c r="AB95" s="1">
        <v>71.0</v>
      </c>
      <c r="AC95" s="1">
        <v>16.0</v>
      </c>
      <c r="AD95" s="1"/>
      <c r="AE95" s="1">
        <v>31.0</v>
      </c>
      <c r="AF95" s="1">
        <v>27.0</v>
      </c>
      <c r="AG95" s="1">
        <v>169.0</v>
      </c>
      <c r="AH95" s="1">
        <v>49.0</v>
      </c>
      <c r="AI95" s="1">
        <v>27.0</v>
      </c>
      <c r="AJ95" s="1"/>
      <c r="AK95" s="1">
        <v>32.0</v>
      </c>
      <c r="AL95" s="1">
        <v>125.0</v>
      </c>
      <c r="AM95" s="1"/>
      <c r="AN95" s="1">
        <v>32.0</v>
      </c>
      <c r="AO95" s="1">
        <v>22.0</v>
      </c>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2">
        <v>25.0</v>
      </c>
    </row>
    <row r="96" ht="15.75" customHeight="1">
      <c r="A96" s="11" t="s">
        <v>306</v>
      </c>
      <c r="B96" s="1">
        <v>12.0</v>
      </c>
      <c r="C96" s="1">
        <v>15.0</v>
      </c>
      <c r="D96" s="1"/>
      <c r="E96" s="1">
        <v>28.0</v>
      </c>
      <c r="F96" s="1"/>
      <c r="G96" s="1">
        <v>22.0</v>
      </c>
      <c r="H96" s="1">
        <v>44.0</v>
      </c>
      <c r="I96" s="1">
        <v>12.0</v>
      </c>
      <c r="J96" s="1">
        <v>21.0</v>
      </c>
      <c r="K96" s="1">
        <v>32.0</v>
      </c>
      <c r="L96" s="1">
        <v>16.0</v>
      </c>
      <c r="M96" s="1">
        <v>85.0</v>
      </c>
      <c r="N96" s="1">
        <v>47.0</v>
      </c>
      <c r="O96" s="1">
        <v>22.0</v>
      </c>
      <c r="P96" s="1"/>
      <c r="Q96" s="1">
        <v>10.0</v>
      </c>
      <c r="R96" s="1">
        <v>47.0</v>
      </c>
      <c r="S96" s="1">
        <v>21.0</v>
      </c>
      <c r="T96" s="1">
        <v>12.0</v>
      </c>
      <c r="U96" s="1">
        <v>33.0</v>
      </c>
      <c r="V96" s="1"/>
      <c r="W96" s="1"/>
      <c r="X96" s="1">
        <v>36.0</v>
      </c>
      <c r="Y96" s="1">
        <v>206.0</v>
      </c>
      <c r="Z96" s="1">
        <v>16.0</v>
      </c>
      <c r="AA96" s="1">
        <v>13.0</v>
      </c>
      <c r="AB96" s="1">
        <v>119.0</v>
      </c>
      <c r="AC96" s="1">
        <v>19.0</v>
      </c>
      <c r="AD96" s="1"/>
      <c r="AE96" s="1">
        <v>42.0</v>
      </c>
      <c r="AF96" s="1">
        <v>41.0</v>
      </c>
      <c r="AG96" s="1">
        <v>718.0</v>
      </c>
      <c r="AH96" s="1">
        <v>207.0</v>
      </c>
      <c r="AI96" s="1">
        <v>33.0</v>
      </c>
      <c r="AJ96" s="1"/>
      <c r="AK96" s="1">
        <v>20.0</v>
      </c>
      <c r="AL96" s="1">
        <v>161.0</v>
      </c>
      <c r="AM96" s="1"/>
      <c r="AN96" s="1">
        <v>8.0</v>
      </c>
      <c r="AO96" s="1">
        <v>29.0</v>
      </c>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2">
        <v>44.0</v>
      </c>
    </row>
    <row r="97" ht="15.75" customHeight="1">
      <c r="A97" s="11" t="s">
        <v>307</v>
      </c>
      <c r="B97" s="1">
        <v>1.6</v>
      </c>
      <c r="C97" s="1">
        <v>3.3</v>
      </c>
      <c r="D97" s="1"/>
      <c r="E97" s="1">
        <v>0.6</v>
      </c>
      <c r="F97" s="1"/>
      <c r="G97" s="1">
        <v>1.3</v>
      </c>
      <c r="H97" s="1">
        <v>0.2</v>
      </c>
      <c r="I97" s="1">
        <v>1.1</v>
      </c>
      <c r="J97" s="1">
        <v>1.8</v>
      </c>
      <c r="K97" s="1">
        <v>1.5</v>
      </c>
      <c r="L97" s="1">
        <v>0.7</v>
      </c>
      <c r="M97" s="1">
        <v>1.5</v>
      </c>
      <c r="N97" s="1">
        <v>2.1</v>
      </c>
      <c r="O97" s="1">
        <v>1.4</v>
      </c>
      <c r="P97" s="1"/>
      <c r="Q97" s="1">
        <v>0.9</v>
      </c>
      <c r="R97" s="1">
        <v>1.8</v>
      </c>
      <c r="S97" s="1">
        <v>1.5</v>
      </c>
      <c r="T97" s="1">
        <v>1.1</v>
      </c>
      <c r="U97" s="1">
        <v>0.5</v>
      </c>
      <c r="V97" s="1"/>
      <c r="W97" s="1"/>
      <c r="X97" s="1">
        <v>0.5</v>
      </c>
      <c r="Y97" s="1">
        <v>1.7</v>
      </c>
      <c r="Z97" s="1">
        <v>1.6</v>
      </c>
      <c r="AA97" s="1">
        <v>6.4</v>
      </c>
      <c r="AB97" s="1">
        <v>1.2</v>
      </c>
      <c r="AC97" s="1">
        <v>1.2</v>
      </c>
      <c r="AD97" s="1"/>
      <c r="AE97" s="1">
        <v>0.9</v>
      </c>
      <c r="AF97" s="1">
        <v>0.7</v>
      </c>
      <c r="AG97" s="1">
        <v>0.6</v>
      </c>
      <c r="AH97" s="1">
        <v>0.8</v>
      </c>
      <c r="AI97" s="1">
        <v>0.9</v>
      </c>
      <c r="AJ97" s="1"/>
      <c r="AK97" s="1">
        <v>2.0</v>
      </c>
      <c r="AL97" s="1">
        <v>1.0</v>
      </c>
      <c r="AM97" s="1"/>
      <c r="AN97" s="1">
        <v>0.6</v>
      </c>
      <c r="AO97" s="1">
        <v>0.5</v>
      </c>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2">
        <v>0.5</v>
      </c>
    </row>
    <row r="98" ht="15.75" customHeight="1">
      <c r="A98" s="11" t="s">
        <v>308</v>
      </c>
      <c r="B98" s="1">
        <v>1.5</v>
      </c>
      <c r="C98" s="1">
        <v>2.3</v>
      </c>
      <c r="D98" s="1"/>
      <c r="E98" s="1">
        <v>1.7</v>
      </c>
      <c r="F98" s="1"/>
      <c r="G98" s="1">
        <v>1.7</v>
      </c>
      <c r="H98" s="1">
        <v>1.4</v>
      </c>
      <c r="I98" s="1">
        <v>0.9</v>
      </c>
      <c r="J98" s="1">
        <v>1.0</v>
      </c>
      <c r="K98" s="1">
        <v>1.3</v>
      </c>
      <c r="L98" s="1">
        <v>0.6</v>
      </c>
      <c r="M98" s="1">
        <v>1.6</v>
      </c>
      <c r="N98" s="1">
        <v>2.4</v>
      </c>
      <c r="O98" s="1">
        <v>1.1</v>
      </c>
      <c r="P98" s="1"/>
      <c r="Q98" s="1">
        <v>0.8</v>
      </c>
      <c r="R98" s="1">
        <v>0.9</v>
      </c>
      <c r="S98" s="1">
        <v>2.1</v>
      </c>
      <c r="T98" s="1">
        <v>0.9</v>
      </c>
      <c r="U98" s="1">
        <v>1.2</v>
      </c>
      <c r="V98" s="1"/>
      <c r="W98" s="1"/>
      <c r="X98" s="1">
        <v>1.3</v>
      </c>
      <c r="Y98" s="1">
        <v>1.6</v>
      </c>
      <c r="Z98" s="1">
        <v>9.4</v>
      </c>
      <c r="AA98" s="1">
        <v>1.4</v>
      </c>
      <c r="AB98" s="1">
        <v>2.5</v>
      </c>
      <c r="AC98" s="1">
        <v>2.1</v>
      </c>
      <c r="AD98" s="1"/>
      <c r="AE98" s="1">
        <v>1.3</v>
      </c>
      <c r="AF98" s="1">
        <v>2.1</v>
      </c>
      <c r="AG98" s="1">
        <v>1.8</v>
      </c>
      <c r="AH98" s="1">
        <v>0.7</v>
      </c>
      <c r="AI98" s="1">
        <v>1.6</v>
      </c>
      <c r="AJ98" s="1"/>
      <c r="AK98" s="1">
        <v>1.3</v>
      </c>
      <c r="AL98" s="1">
        <v>1.6</v>
      </c>
      <c r="AM98" s="1"/>
      <c r="AN98" s="1">
        <v>0.4</v>
      </c>
      <c r="AO98" s="1">
        <v>2.8</v>
      </c>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2">
        <v>1.2</v>
      </c>
    </row>
    <row r="99" ht="15.75" customHeight="1">
      <c r="A99" s="11" t="s">
        <v>309</v>
      </c>
      <c r="B99" s="1">
        <v>7.45</v>
      </c>
      <c r="C99" s="1">
        <v>7.41</v>
      </c>
      <c r="D99" s="1"/>
      <c r="E99" s="1" t="s">
        <v>232</v>
      </c>
      <c r="F99" s="1"/>
      <c r="G99" s="1">
        <v>7.46</v>
      </c>
      <c r="H99" s="1">
        <v>7.38</v>
      </c>
      <c r="I99" s="1">
        <v>7.43</v>
      </c>
      <c r="J99" s="1">
        <v>7.33</v>
      </c>
      <c r="K99" s="1">
        <v>7.46</v>
      </c>
      <c r="L99" s="1">
        <v>7.37</v>
      </c>
      <c r="M99" s="1">
        <v>7.47</v>
      </c>
      <c r="N99" s="1">
        <v>7.48</v>
      </c>
      <c r="O99" s="1">
        <v>7.39</v>
      </c>
      <c r="P99" s="1"/>
      <c r="Q99" s="1">
        <v>7.42</v>
      </c>
      <c r="R99" s="1">
        <v>7.41</v>
      </c>
      <c r="S99" s="1">
        <v>7.44</v>
      </c>
      <c r="T99" s="1">
        <v>7.36</v>
      </c>
      <c r="U99" s="1"/>
      <c r="V99" s="1"/>
      <c r="W99" s="1"/>
      <c r="X99" s="1">
        <v>7.38</v>
      </c>
      <c r="Y99" s="1">
        <v>7.42</v>
      </c>
      <c r="Z99" s="1">
        <v>7.44</v>
      </c>
      <c r="AA99" s="1">
        <v>7.47</v>
      </c>
      <c r="AB99" s="1">
        <v>7.42</v>
      </c>
      <c r="AC99" s="1">
        <v>7.4</v>
      </c>
      <c r="AD99" s="1"/>
      <c r="AE99" s="1">
        <v>7.41</v>
      </c>
      <c r="AF99" s="1">
        <v>7.46</v>
      </c>
      <c r="AG99" s="1">
        <v>7.43</v>
      </c>
      <c r="AH99" s="1">
        <v>7.38</v>
      </c>
      <c r="AI99" s="1">
        <v>7.33</v>
      </c>
      <c r="AJ99" s="1"/>
      <c r="AK99" s="1">
        <v>7.44</v>
      </c>
      <c r="AL99" s="1">
        <v>7.39</v>
      </c>
      <c r="AM99" s="1"/>
      <c r="AN99" s="1">
        <v>7.36</v>
      </c>
      <c r="AO99" s="1">
        <v>7.41</v>
      </c>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2">
        <v>7.35</v>
      </c>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row>
    <row r="101" ht="15.75" customHeight="1">
      <c r="A101" s="4" t="s">
        <v>310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row>
    <row r="102" ht="15.75" customHeight="1">
      <c r="A102" s="11" t="s">
        <v>298</v>
      </c>
      <c r="B102" s="1">
        <v>135.0</v>
      </c>
      <c r="C102" s="1">
        <v>127.0</v>
      </c>
      <c r="D102" s="1"/>
      <c r="E102" s="1">
        <v>135.0</v>
      </c>
      <c r="F102" s="1"/>
      <c r="G102" s="1">
        <v>136.0</v>
      </c>
      <c r="H102" s="1">
        <v>131.0</v>
      </c>
      <c r="I102" s="1">
        <v>131.0</v>
      </c>
      <c r="J102" s="1">
        <v>137.0</v>
      </c>
      <c r="K102" s="1">
        <v>133.0</v>
      </c>
      <c r="L102" s="1">
        <v>137.0</v>
      </c>
      <c r="M102" s="1">
        <v>123.0</v>
      </c>
      <c r="N102" s="1">
        <v>123.0</v>
      </c>
      <c r="O102" s="2">
        <v>145.0</v>
      </c>
      <c r="P102" s="1"/>
      <c r="Q102" s="1">
        <v>135.0</v>
      </c>
      <c r="R102" s="1">
        <v>132.0</v>
      </c>
      <c r="S102" s="2">
        <v>127.0</v>
      </c>
      <c r="T102" s="1">
        <v>129.0</v>
      </c>
      <c r="U102" s="1">
        <v>134.0</v>
      </c>
      <c r="V102" s="1"/>
      <c r="W102" s="1"/>
      <c r="X102" s="1">
        <v>135.0</v>
      </c>
      <c r="Y102" s="1">
        <v>129.0</v>
      </c>
      <c r="Z102" s="1">
        <v>135.0</v>
      </c>
      <c r="AA102" s="1">
        <v>119.0</v>
      </c>
      <c r="AB102" s="1">
        <v>140.0</v>
      </c>
      <c r="AC102" s="1">
        <v>133.0</v>
      </c>
      <c r="AD102" s="1"/>
      <c r="AE102" s="1">
        <v>134.0</v>
      </c>
      <c r="AF102" s="1">
        <v>130.0</v>
      </c>
      <c r="AG102" s="1">
        <v>129.0</v>
      </c>
      <c r="AH102" s="1">
        <v>132.0</v>
      </c>
      <c r="AI102" s="1">
        <v>137.0</v>
      </c>
      <c r="AJ102" s="1"/>
      <c r="AK102" s="1">
        <v>122.0</v>
      </c>
      <c r="AL102" s="1">
        <v>129.0</v>
      </c>
      <c r="AM102" s="1"/>
      <c r="AN102" s="1">
        <v>135.0</v>
      </c>
      <c r="AO102" s="1">
        <v>141.0</v>
      </c>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2">
        <v>134.0</v>
      </c>
    </row>
    <row r="103" ht="15.75" customHeight="1">
      <c r="A103" s="11" t="s">
        <v>299</v>
      </c>
      <c r="B103" s="1">
        <v>4.2</v>
      </c>
      <c r="C103" s="1">
        <v>5.1</v>
      </c>
      <c r="D103" s="1"/>
      <c r="E103" s="1">
        <v>4.0</v>
      </c>
      <c r="F103" s="1"/>
      <c r="G103" s="1">
        <v>4.3</v>
      </c>
      <c r="H103" s="1">
        <v>4.1</v>
      </c>
      <c r="I103" s="1">
        <v>5.1</v>
      </c>
      <c r="J103" s="1">
        <v>4.4</v>
      </c>
      <c r="K103" s="1">
        <v>4.0</v>
      </c>
      <c r="L103" s="1">
        <v>4.5</v>
      </c>
      <c r="M103" s="1">
        <v>4.4</v>
      </c>
      <c r="N103" s="1">
        <v>4.7</v>
      </c>
      <c r="O103" s="1">
        <v>4.1</v>
      </c>
      <c r="P103" s="1"/>
      <c r="Q103" s="1">
        <v>4.5</v>
      </c>
      <c r="R103" s="1">
        <v>4.4</v>
      </c>
      <c r="S103" s="1">
        <v>4.2</v>
      </c>
      <c r="T103" s="1">
        <v>4.9</v>
      </c>
      <c r="U103" s="1">
        <v>4.2</v>
      </c>
      <c r="V103" s="1"/>
      <c r="W103" s="1"/>
      <c r="X103" s="1">
        <v>5.3</v>
      </c>
      <c r="Y103" s="1">
        <v>4.5</v>
      </c>
      <c r="Z103" s="1">
        <v>3.9</v>
      </c>
      <c r="AA103" s="1">
        <v>4.3</v>
      </c>
      <c r="AB103" s="1">
        <v>4.2</v>
      </c>
      <c r="AC103" s="1">
        <v>5.0</v>
      </c>
      <c r="AD103" s="1"/>
      <c r="AE103" s="1">
        <v>4.8</v>
      </c>
      <c r="AF103" s="1">
        <v>4.3</v>
      </c>
      <c r="AG103" s="1">
        <v>5.0</v>
      </c>
      <c r="AH103" s="1">
        <v>5.3</v>
      </c>
      <c r="AI103" s="1">
        <v>3.8</v>
      </c>
      <c r="AJ103" s="1"/>
      <c r="AK103" s="1">
        <v>3.4</v>
      </c>
      <c r="AL103" s="1">
        <v>3.9</v>
      </c>
      <c r="AM103" s="1"/>
      <c r="AN103" s="1">
        <v>4.2</v>
      </c>
      <c r="AO103" s="1">
        <v>5.4</v>
      </c>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2">
        <v>4.1</v>
      </c>
    </row>
    <row r="104" ht="15.75" customHeight="1">
      <c r="A104" s="11" t="s">
        <v>300</v>
      </c>
      <c r="B104" s="1">
        <v>22.0</v>
      </c>
      <c r="C104" s="1">
        <v>28.0</v>
      </c>
      <c r="D104" s="1"/>
      <c r="E104" s="1">
        <v>30.0</v>
      </c>
      <c r="F104" s="1"/>
      <c r="G104" s="1">
        <v>23.0</v>
      </c>
      <c r="H104" s="1">
        <v>21.0</v>
      </c>
      <c r="I104" s="1">
        <v>25.0</v>
      </c>
      <c r="J104" s="1"/>
      <c r="K104" s="1">
        <v>28.0</v>
      </c>
      <c r="L104" s="1">
        <v>24.0</v>
      </c>
      <c r="M104" s="1">
        <v>24.0</v>
      </c>
      <c r="N104" s="1">
        <v>21.0</v>
      </c>
      <c r="O104" s="1">
        <v>18.0</v>
      </c>
      <c r="P104" s="1"/>
      <c r="Q104" s="1">
        <v>25.0</v>
      </c>
      <c r="R104" s="1">
        <v>26.0</v>
      </c>
      <c r="S104" s="1">
        <v>25.0</v>
      </c>
      <c r="T104" s="1">
        <v>24.0</v>
      </c>
      <c r="U104" s="1">
        <v>23.0</v>
      </c>
      <c r="V104" s="1"/>
      <c r="W104" s="1"/>
      <c r="X104" s="1">
        <v>26.0</v>
      </c>
      <c r="Y104" s="1">
        <v>23.0</v>
      </c>
      <c r="Z104" s="1">
        <v>21.0</v>
      </c>
      <c r="AA104" s="1">
        <v>23.0</v>
      </c>
      <c r="AB104" s="1">
        <v>30.0</v>
      </c>
      <c r="AC104" s="1">
        <v>27.0</v>
      </c>
      <c r="AD104" s="1"/>
      <c r="AE104" s="1">
        <v>24.0</v>
      </c>
      <c r="AF104" s="1">
        <v>25.0</v>
      </c>
      <c r="AG104" s="1">
        <v>27.0</v>
      </c>
      <c r="AH104" s="1">
        <v>27.0</v>
      </c>
      <c r="AI104" s="1">
        <v>26.0</v>
      </c>
      <c r="AJ104" s="1"/>
      <c r="AK104" s="1">
        <v>30.0</v>
      </c>
      <c r="AL104" s="1">
        <v>27.0</v>
      </c>
      <c r="AM104" s="1"/>
      <c r="AN104" s="1">
        <v>20.0</v>
      </c>
      <c r="AO104" s="1">
        <v>21.0</v>
      </c>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2">
        <v>22.0</v>
      </c>
    </row>
    <row r="105" ht="15.75" customHeight="1">
      <c r="A105" s="11" t="s">
        <v>301</v>
      </c>
      <c r="B105" s="1">
        <v>3.9</v>
      </c>
      <c r="C105" s="1">
        <v>1.2</v>
      </c>
      <c r="D105" s="1"/>
      <c r="E105" s="1">
        <v>3.9</v>
      </c>
      <c r="F105" s="1"/>
      <c r="G105" s="1">
        <v>0.7</v>
      </c>
      <c r="H105" s="1">
        <v>0.8</v>
      </c>
      <c r="I105" s="1">
        <v>1.2</v>
      </c>
      <c r="J105" s="1">
        <v>0.9</v>
      </c>
      <c r="K105" s="1">
        <v>1.8</v>
      </c>
      <c r="L105" s="1">
        <v>1.2</v>
      </c>
      <c r="M105" s="1">
        <v>0.9</v>
      </c>
      <c r="N105" s="1">
        <v>1.8</v>
      </c>
      <c r="O105" s="1">
        <v>1.2</v>
      </c>
      <c r="P105" s="1"/>
      <c r="Q105" s="1">
        <v>1.1</v>
      </c>
      <c r="R105" s="1">
        <v>0.9</v>
      </c>
      <c r="S105" s="1">
        <v>1.6</v>
      </c>
      <c r="T105" s="1">
        <v>2.2</v>
      </c>
      <c r="U105" s="1">
        <v>1.2</v>
      </c>
      <c r="V105" s="1"/>
      <c r="W105" s="1"/>
      <c r="X105" s="1">
        <v>1.5</v>
      </c>
      <c r="Y105" s="1">
        <v>1.6</v>
      </c>
      <c r="Z105" s="1">
        <v>1.1</v>
      </c>
      <c r="AA105" s="2">
        <v>1.3</v>
      </c>
      <c r="AB105" s="1">
        <v>1.4</v>
      </c>
      <c r="AC105" s="1">
        <v>1.1</v>
      </c>
      <c r="AD105" s="1"/>
      <c r="AE105" s="1">
        <v>1.2</v>
      </c>
      <c r="AF105" s="1">
        <v>1.4</v>
      </c>
      <c r="AG105" s="1">
        <v>1.1</v>
      </c>
      <c r="AH105" s="1">
        <v>1.7</v>
      </c>
      <c r="AI105" s="1">
        <v>0.9</v>
      </c>
      <c r="AJ105" s="1"/>
      <c r="AK105" s="1">
        <v>2.4</v>
      </c>
      <c r="AL105" s="1">
        <v>3.0</v>
      </c>
      <c r="AM105" s="1"/>
      <c r="AN105" s="1">
        <v>1.32</v>
      </c>
      <c r="AO105" s="1">
        <v>2.34</v>
      </c>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2">
        <v>5.47</v>
      </c>
    </row>
    <row r="106" ht="15.75" customHeight="1">
      <c r="A106" s="11" t="s">
        <v>302</v>
      </c>
      <c r="B106" s="1">
        <v>17.0</v>
      </c>
      <c r="C106" s="1">
        <v>75.0</v>
      </c>
      <c r="D106" s="1"/>
      <c r="E106" s="1">
        <v>17.0</v>
      </c>
      <c r="F106" s="1"/>
      <c r="G106" s="1">
        <v>119.0</v>
      </c>
      <c r="H106" s="1">
        <v>100.0</v>
      </c>
      <c r="I106" s="1">
        <v>69.0</v>
      </c>
      <c r="J106" s="1">
        <v>105.0</v>
      </c>
      <c r="K106" s="1">
        <v>41.0</v>
      </c>
      <c r="L106" s="1">
        <v>71.0</v>
      </c>
      <c r="M106" s="1">
        <v>94.0</v>
      </c>
      <c r="N106" s="1">
        <v>46.0</v>
      </c>
      <c r="O106" s="1">
        <v>51.0</v>
      </c>
      <c r="P106" s="1"/>
      <c r="Q106" s="1">
        <v>56.0</v>
      </c>
      <c r="R106" s="1">
        <v>96.0</v>
      </c>
      <c r="S106" s="1">
        <v>51.0</v>
      </c>
      <c r="T106" s="1">
        <v>33.0</v>
      </c>
      <c r="U106" s="1">
        <v>68.0</v>
      </c>
      <c r="V106" s="1"/>
      <c r="W106" s="1"/>
      <c r="X106" s="1">
        <v>39.0</v>
      </c>
      <c r="Y106" s="1">
        <v>39.0</v>
      </c>
      <c r="Z106" s="1">
        <v>77.0</v>
      </c>
      <c r="AA106" s="1">
        <v>67.0</v>
      </c>
      <c r="AB106" s="1">
        <v>43.0</v>
      </c>
      <c r="AC106" s="1">
        <v>69.0</v>
      </c>
      <c r="AD106" s="1"/>
      <c r="AE106" s="1">
        <v>72.0</v>
      </c>
      <c r="AF106" s="1">
        <v>61.0</v>
      </c>
      <c r="AG106" s="1">
        <v>74.0</v>
      </c>
      <c r="AH106" s="1">
        <v>40.0</v>
      </c>
      <c r="AI106" s="1">
        <v>71.0</v>
      </c>
      <c r="AJ106" s="1"/>
      <c r="AK106" s="1">
        <v>21.0</v>
      </c>
      <c r="AL106" s="1">
        <v>24.0</v>
      </c>
      <c r="AM106" s="1"/>
      <c r="AN106" s="1">
        <v>42.0</v>
      </c>
      <c r="AO106" s="1">
        <v>30.0</v>
      </c>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2">
        <v>10.0</v>
      </c>
    </row>
    <row r="107" ht="15.75" customHeight="1">
      <c r="A107" s="11" t="s">
        <v>303</v>
      </c>
      <c r="B107" s="1">
        <v>9.0</v>
      </c>
      <c r="C107" s="1">
        <v>8.8</v>
      </c>
      <c r="D107" s="1"/>
      <c r="E107" s="1">
        <v>8.3</v>
      </c>
      <c r="F107" s="1"/>
      <c r="G107" s="1">
        <v>10.0</v>
      </c>
      <c r="H107" s="1">
        <v>9.0</v>
      </c>
      <c r="I107" s="1">
        <v>9.6</v>
      </c>
      <c r="J107" s="1">
        <v>15.9</v>
      </c>
      <c r="K107" s="1">
        <v>11.7</v>
      </c>
      <c r="L107" s="1">
        <v>11.9</v>
      </c>
      <c r="M107" s="1">
        <v>12.8</v>
      </c>
      <c r="N107" s="1">
        <v>8.1</v>
      </c>
      <c r="O107" s="1">
        <v>7.4</v>
      </c>
      <c r="P107" s="1"/>
      <c r="Q107" s="1">
        <v>9.4</v>
      </c>
      <c r="R107" s="1">
        <v>14.1</v>
      </c>
      <c r="S107" s="1">
        <v>11.8</v>
      </c>
      <c r="T107" s="1">
        <v>9.1</v>
      </c>
      <c r="U107" s="1">
        <v>12.3</v>
      </c>
      <c r="V107" s="1"/>
      <c r="W107" s="1"/>
      <c r="X107" s="1">
        <v>7.0</v>
      </c>
      <c r="Y107" s="1">
        <v>10.9</v>
      </c>
      <c r="Z107" s="1">
        <v>8.0</v>
      </c>
      <c r="AA107" s="1">
        <v>10.7</v>
      </c>
      <c r="AB107" s="1">
        <v>8.7</v>
      </c>
      <c r="AC107" s="1">
        <v>11.3</v>
      </c>
      <c r="AD107" s="1"/>
      <c r="AE107" s="1">
        <v>12.5</v>
      </c>
      <c r="AF107" s="1">
        <v>11.0</v>
      </c>
      <c r="AG107" s="1">
        <v>8.7</v>
      </c>
      <c r="AH107" s="1">
        <v>10.0</v>
      </c>
      <c r="AI107" s="1">
        <v>14.2</v>
      </c>
      <c r="AJ107" s="1"/>
      <c r="AK107" s="1">
        <v>10.4</v>
      </c>
      <c r="AL107" s="1">
        <v>8.3</v>
      </c>
      <c r="AM107" s="1"/>
      <c r="AN107" s="1">
        <v>9.1</v>
      </c>
      <c r="AO107" s="1">
        <v>11.5</v>
      </c>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2">
        <v>8.9</v>
      </c>
    </row>
    <row r="108" ht="15.75" customHeight="1">
      <c r="A108" s="11" t="s">
        <v>304</v>
      </c>
      <c r="B108" s="1">
        <v>16.09</v>
      </c>
      <c r="C108" s="1">
        <v>6.95</v>
      </c>
      <c r="D108" s="1"/>
      <c r="E108" s="1">
        <v>9.99</v>
      </c>
      <c r="F108" s="1"/>
      <c r="G108" s="1">
        <v>6.87</v>
      </c>
      <c r="H108" s="1">
        <v>13.5</v>
      </c>
      <c r="I108" s="1">
        <v>11.5</v>
      </c>
      <c r="J108" s="1">
        <v>9.58</v>
      </c>
      <c r="K108" s="1">
        <v>5.52</v>
      </c>
      <c r="L108" s="1">
        <v>9.22</v>
      </c>
      <c r="M108" s="1">
        <v>9.26</v>
      </c>
      <c r="N108" s="1">
        <v>9.72</v>
      </c>
      <c r="O108" s="1">
        <v>5.99</v>
      </c>
      <c r="P108" s="1"/>
      <c r="Q108" s="1">
        <v>10.41</v>
      </c>
      <c r="R108" s="1">
        <v>11.07</v>
      </c>
      <c r="S108" s="1">
        <v>7.94</v>
      </c>
      <c r="T108" s="1">
        <v>10.4</v>
      </c>
      <c r="U108" s="1">
        <v>8.72</v>
      </c>
      <c r="V108" s="1"/>
      <c r="W108" s="1"/>
      <c r="X108" s="1">
        <v>10.81</v>
      </c>
      <c r="Y108" s="1">
        <v>19.88</v>
      </c>
      <c r="Z108" s="1">
        <v>7.07</v>
      </c>
      <c r="AA108" s="1">
        <v>10.94</v>
      </c>
      <c r="AB108" s="1">
        <v>7.93</v>
      </c>
      <c r="AC108" s="1">
        <v>7.65</v>
      </c>
      <c r="AD108" s="1"/>
      <c r="AE108" s="1">
        <v>11.32</v>
      </c>
      <c r="AF108" s="1">
        <v>10.84</v>
      </c>
      <c r="AG108" s="1">
        <v>10.67</v>
      </c>
      <c r="AH108" s="1">
        <v>4.1</v>
      </c>
      <c r="AI108" s="1">
        <v>16.4</v>
      </c>
      <c r="AJ108" s="1"/>
      <c r="AK108" s="1">
        <v>7.4</v>
      </c>
      <c r="AL108" s="1">
        <v>12.2</v>
      </c>
      <c r="AM108" s="1"/>
      <c r="AN108" s="1">
        <v>9.6</v>
      </c>
      <c r="AO108" s="1">
        <v>18.5</v>
      </c>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2">
        <v>5.5</v>
      </c>
    </row>
    <row r="109" ht="15.75" customHeight="1">
      <c r="A109" s="11" t="s">
        <v>305</v>
      </c>
      <c r="B109" s="1">
        <v>34.0</v>
      </c>
      <c r="C109" s="1">
        <v>34.0</v>
      </c>
      <c r="D109" s="1"/>
      <c r="E109" s="1">
        <v>29.0</v>
      </c>
      <c r="F109" s="1"/>
      <c r="G109" s="1">
        <v>12.0</v>
      </c>
      <c r="H109" s="1">
        <v>32.0</v>
      </c>
      <c r="I109" s="1">
        <v>27.0</v>
      </c>
      <c r="J109" s="1">
        <v>21.0</v>
      </c>
      <c r="K109" s="1">
        <v>18.0</v>
      </c>
      <c r="L109" s="1">
        <v>45.0</v>
      </c>
      <c r="M109" s="1">
        <v>24.0</v>
      </c>
      <c r="N109" s="1">
        <v>71.0</v>
      </c>
      <c r="O109" s="1">
        <v>95.0</v>
      </c>
      <c r="P109" s="1"/>
      <c r="Q109" s="1">
        <v>29.0</v>
      </c>
      <c r="R109" s="1">
        <v>38.0</v>
      </c>
      <c r="S109" s="1">
        <v>24.0</v>
      </c>
      <c r="T109" s="1">
        <v>17.0</v>
      </c>
      <c r="U109" s="1">
        <v>18.0</v>
      </c>
      <c r="V109" s="1"/>
      <c r="W109" s="1"/>
      <c r="X109" s="1">
        <v>18.0</v>
      </c>
      <c r="Y109" s="1">
        <v>125.0</v>
      </c>
      <c r="Z109" s="1">
        <v>26.0</v>
      </c>
      <c r="AA109" s="1">
        <v>22.0</v>
      </c>
      <c r="AB109" s="1">
        <v>33.0</v>
      </c>
      <c r="AC109" s="1">
        <v>36.0</v>
      </c>
      <c r="AD109" s="1"/>
      <c r="AE109" s="1">
        <v>31.0</v>
      </c>
      <c r="AF109" s="1">
        <v>30.0</v>
      </c>
      <c r="AG109" s="1">
        <v>46.0</v>
      </c>
      <c r="AH109" s="1">
        <v>26.0</v>
      </c>
      <c r="AI109" s="1">
        <v>29.0</v>
      </c>
      <c r="AJ109" s="1"/>
      <c r="AK109" s="1">
        <v>49.0</v>
      </c>
      <c r="AL109" s="1">
        <v>54.0</v>
      </c>
      <c r="AM109" s="1"/>
      <c r="AN109" s="1">
        <v>25.0</v>
      </c>
      <c r="AO109" s="1">
        <v>21.0</v>
      </c>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2">
        <v>26.0</v>
      </c>
    </row>
    <row r="110" ht="15.75" customHeight="1">
      <c r="A110" s="11" t="s">
        <v>306</v>
      </c>
      <c r="B110" s="1">
        <v>11.0</v>
      </c>
      <c r="C110" s="1">
        <v>32.0</v>
      </c>
      <c r="D110" s="1"/>
      <c r="E110" s="1">
        <v>9.0</v>
      </c>
      <c r="F110" s="1"/>
      <c r="G110" s="1">
        <v>25.0</v>
      </c>
      <c r="H110" s="1">
        <v>45.0</v>
      </c>
      <c r="I110" s="1">
        <v>13.0</v>
      </c>
      <c r="J110" s="1">
        <v>15.0</v>
      </c>
      <c r="K110" s="1">
        <v>14.0</v>
      </c>
      <c r="L110" s="1">
        <v>33.0</v>
      </c>
      <c r="M110" s="1">
        <v>79.0</v>
      </c>
      <c r="N110" s="1">
        <v>194.0</v>
      </c>
      <c r="O110" s="1">
        <v>5.0</v>
      </c>
      <c r="P110" s="1"/>
      <c r="Q110" s="1">
        <v>12.0</v>
      </c>
      <c r="R110" s="1">
        <v>36.0</v>
      </c>
      <c r="S110" s="1">
        <v>14.0</v>
      </c>
      <c r="T110" s="1">
        <v>8.0</v>
      </c>
      <c r="U110" s="1">
        <v>20.0</v>
      </c>
      <c r="V110" s="1"/>
      <c r="W110" s="1"/>
      <c r="X110" s="1">
        <v>14.0</v>
      </c>
      <c r="Y110" s="1">
        <v>140.0</v>
      </c>
      <c r="Z110" s="1">
        <v>13.0</v>
      </c>
      <c r="AA110" s="1">
        <v>6.0</v>
      </c>
      <c r="AB110" s="1">
        <v>50.0</v>
      </c>
      <c r="AC110" s="1">
        <v>17.0</v>
      </c>
      <c r="AD110" s="1"/>
      <c r="AE110" s="1">
        <v>27.0</v>
      </c>
      <c r="AF110" s="1">
        <v>41.0</v>
      </c>
      <c r="AG110" s="1">
        <v>156.0</v>
      </c>
      <c r="AH110" s="1">
        <v>63.0</v>
      </c>
      <c r="AI110" s="1">
        <v>22.0</v>
      </c>
      <c r="AJ110" s="1"/>
      <c r="AK110" s="1">
        <v>14.0</v>
      </c>
      <c r="AL110" s="1">
        <v>45.0</v>
      </c>
      <c r="AM110" s="1"/>
      <c r="AN110" s="1">
        <v>6.0</v>
      </c>
      <c r="AO110" s="1">
        <v>16.0</v>
      </c>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2">
        <v>14.0</v>
      </c>
    </row>
    <row r="111" ht="15.75" customHeight="1">
      <c r="A111" s="11" t="s">
        <v>307</v>
      </c>
      <c r="B111" s="1">
        <v>0.9</v>
      </c>
      <c r="C111" s="1">
        <v>3.0</v>
      </c>
      <c r="D111" s="1"/>
      <c r="E111" s="1">
        <v>0.6</v>
      </c>
      <c r="F111" s="1"/>
      <c r="G111" s="1">
        <v>0.7</v>
      </c>
      <c r="H111" s="1">
        <v>0.3</v>
      </c>
      <c r="I111" s="1">
        <v>0.7</v>
      </c>
      <c r="J111" s="1">
        <v>2.3</v>
      </c>
      <c r="K111" s="1">
        <v>1.1</v>
      </c>
      <c r="L111" s="1">
        <v>0.6</v>
      </c>
      <c r="M111" s="1">
        <v>1.3</v>
      </c>
      <c r="N111" s="1">
        <v>2.5</v>
      </c>
      <c r="O111" s="1">
        <v>4.4</v>
      </c>
      <c r="P111" s="1"/>
      <c r="Q111" s="1">
        <v>0.9</v>
      </c>
      <c r="R111" s="1">
        <v>2.9</v>
      </c>
      <c r="S111" s="1">
        <v>1.8</v>
      </c>
      <c r="T111" s="1">
        <v>1.3</v>
      </c>
      <c r="U111" s="1">
        <v>1.1</v>
      </c>
      <c r="V111" s="1"/>
      <c r="W111" s="1"/>
      <c r="X111" s="1">
        <v>0.5</v>
      </c>
      <c r="Y111" s="1">
        <v>5.0</v>
      </c>
      <c r="Z111" s="1">
        <v>0.9</v>
      </c>
      <c r="AA111" s="1">
        <v>3.0</v>
      </c>
      <c r="AB111" s="1">
        <v>2.1</v>
      </c>
      <c r="AC111" s="1">
        <v>0.7</v>
      </c>
      <c r="AD111" s="1"/>
      <c r="AE111" s="1">
        <v>1.2</v>
      </c>
      <c r="AF111" s="1">
        <v>0.5</v>
      </c>
      <c r="AG111" s="1">
        <v>0.5</v>
      </c>
      <c r="AH111" s="1">
        <v>1.1</v>
      </c>
      <c r="AI111" s="1">
        <v>0.3</v>
      </c>
      <c r="AJ111" s="1"/>
      <c r="AK111" s="1">
        <v>2.2</v>
      </c>
      <c r="AL111" s="1">
        <v>0.8</v>
      </c>
      <c r="AM111" s="1"/>
      <c r="AN111" s="1">
        <v>0.5</v>
      </c>
      <c r="AO111" s="1">
        <v>0.7</v>
      </c>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2">
        <v>0.4</v>
      </c>
    </row>
    <row r="112" ht="15.75" customHeight="1">
      <c r="A112" s="11" t="s">
        <v>308</v>
      </c>
      <c r="B112" s="1">
        <v>1.5</v>
      </c>
      <c r="C112" s="1">
        <v>0.9</v>
      </c>
      <c r="D112" s="1"/>
      <c r="E112" s="1"/>
      <c r="F112" s="1"/>
      <c r="G112" s="1">
        <v>0.9</v>
      </c>
      <c r="H112" s="1">
        <v>1.1</v>
      </c>
      <c r="I112" s="1">
        <v>1.0</v>
      </c>
      <c r="J112" s="1">
        <v>1.2</v>
      </c>
      <c r="K112" s="1">
        <v>0.8</v>
      </c>
      <c r="L112" s="1">
        <v>1.0</v>
      </c>
      <c r="M112" s="1" t="s">
        <v>232</v>
      </c>
      <c r="N112" s="1">
        <v>1.6</v>
      </c>
      <c r="O112" s="1">
        <v>5.9</v>
      </c>
      <c r="P112" s="1"/>
      <c r="Q112" s="1">
        <v>0.7</v>
      </c>
      <c r="R112" s="1">
        <v>0.9</v>
      </c>
      <c r="S112" s="1">
        <v>1.1</v>
      </c>
      <c r="T112" s="1">
        <v>1.0</v>
      </c>
      <c r="U112" s="1">
        <v>0.9</v>
      </c>
      <c r="V112" s="1"/>
      <c r="W112" s="1"/>
      <c r="X112" s="1">
        <v>1.2</v>
      </c>
      <c r="Y112" s="1">
        <v>1.1</v>
      </c>
      <c r="Z112" s="1">
        <v>1.0</v>
      </c>
      <c r="AA112" s="1"/>
      <c r="AB112" s="1">
        <v>1.0</v>
      </c>
      <c r="AC112" s="1">
        <v>0.7</v>
      </c>
      <c r="AD112" s="1"/>
      <c r="AE112" s="1">
        <v>1.4</v>
      </c>
      <c r="AF112" s="1">
        <v>1.3</v>
      </c>
      <c r="AG112" s="1">
        <v>1.9</v>
      </c>
      <c r="AH112" s="1">
        <v>1.9</v>
      </c>
      <c r="AI112" s="1">
        <v>1.9</v>
      </c>
      <c r="AJ112" s="1"/>
      <c r="AK112" s="1">
        <v>0.8</v>
      </c>
      <c r="AL112" s="1">
        <v>0.8</v>
      </c>
      <c r="AM112" s="1"/>
      <c r="AN112" s="1">
        <v>0.8</v>
      </c>
      <c r="AO112" s="1">
        <v>1.6</v>
      </c>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2">
        <v>1.5</v>
      </c>
    </row>
    <row r="113" ht="15.75" customHeight="1">
      <c r="A113" s="11" t="s">
        <v>309</v>
      </c>
      <c r="B113" s="1">
        <v>7.39</v>
      </c>
      <c r="C113" s="1">
        <v>7.44</v>
      </c>
      <c r="D113" s="1"/>
      <c r="E113" s="1">
        <v>7.5</v>
      </c>
      <c r="F113" s="1"/>
      <c r="G113" s="1">
        <v>7.41</v>
      </c>
      <c r="H113" s="1">
        <v>7.38</v>
      </c>
      <c r="I113" s="2">
        <v>7.41</v>
      </c>
      <c r="J113" s="1">
        <v>7.38</v>
      </c>
      <c r="K113" s="1">
        <v>7.47</v>
      </c>
      <c r="L113" s="1"/>
      <c r="M113" s="1">
        <v>7.48</v>
      </c>
      <c r="N113" s="1">
        <v>7.45</v>
      </c>
      <c r="O113" s="1">
        <v>7.42</v>
      </c>
      <c r="P113" s="1"/>
      <c r="Q113" s="1">
        <v>7.42</v>
      </c>
      <c r="R113" s="1"/>
      <c r="S113" s="1">
        <v>7.51</v>
      </c>
      <c r="T113" s="1">
        <v>7.4</v>
      </c>
      <c r="U113" s="1"/>
      <c r="V113" s="1"/>
      <c r="W113" s="1"/>
      <c r="X113" s="1">
        <v>7.39</v>
      </c>
      <c r="Y113" s="1">
        <v>7.43</v>
      </c>
      <c r="Z113" s="1">
        <v>7.42</v>
      </c>
      <c r="AA113" s="1">
        <v>7.33</v>
      </c>
      <c r="AB113" s="1">
        <v>7.46</v>
      </c>
      <c r="AC113" s="1">
        <v>7.45</v>
      </c>
      <c r="AD113" s="1"/>
      <c r="AE113" s="1">
        <v>7.4</v>
      </c>
      <c r="AF113" s="1">
        <v>7.42</v>
      </c>
      <c r="AG113" s="1">
        <v>7.45</v>
      </c>
      <c r="AH113" s="1">
        <v>7.39</v>
      </c>
      <c r="AI113" s="1">
        <v>7.41</v>
      </c>
      <c r="AJ113" s="1"/>
      <c r="AK113" s="1">
        <v>7.4</v>
      </c>
      <c r="AL113" s="1">
        <v>7.45</v>
      </c>
      <c r="AM113" s="1"/>
      <c r="AN113" s="1">
        <v>7.43</v>
      </c>
      <c r="AO113" s="1">
        <v>7.41</v>
      </c>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2">
        <v>7.37</v>
      </c>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row>
    <row r="115" ht="15.75" customHeight="1">
      <c r="A115" s="12" t="s">
        <v>311</v>
      </c>
      <c r="B115" s="1"/>
      <c r="C115" s="1"/>
      <c r="D115" s="1"/>
      <c r="E115" s="1"/>
      <c r="F115" s="1"/>
      <c r="G115" s="1"/>
      <c r="H115" s="1"/>
      <c r="I115" s="1"/>
      <c r="J115" s="1"/>
      <c r="K115" s="1"/>
      <c r="L115" s="1"/>
      <c r="M115" s="1"/>
      <c r="N115" s="1"/>
      <c r="O115" s="1" t="s">
        <v>312</v>
      </c>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row>
    <row r="116" ht="15.75" customHeight="1">
      <c r="A116" s="11" t="s">
        <v>313</v>
      </c>
      <c r="B116" s="1">
        <v>0.0</v>
      </c>
      <c r="C116" s="1">
        <v>0.0</v>
      </c>
      <c r="D116" s="1"/>
      <c r="E116" s="1">
        <v>0.0</v>
      </c>
      <c r="F116" s="1"/>
      <c r="G116" s="1">
        <v>0.0</v>
      </c>
      <c r="H116" s="1">
        <v>0.0</v>
      </c>
      <c r="I116" s="1">
        <v>0.0</v>
      </c>
      <c r="J116" s="1">
        <v>0.0</v>
      </c>
      <c r="K116" s="1">
        <v>0.0</v>
      </c>
      <c r="L116" s="1">
        <v>0.0</v>
      </c>
      <c r="M116" s="1">
        <v>0.0</v>
      </c>
      <c r="N116" s="1">
        <v>0.0</v>
      </c>
      <c r="O116" s="1">
        <v>0.0</v>
      </c>
      <c r="P116" s="1"/>
      <c r="Q116" s="1">
        <v>0.0</v>
      </c>
      <c r="R116" s="1">
        <v>0.0</v>
      </c>
      <c r="S116" s="1">
        <v>0.0</v>
      </c>
      <c r="T116" s="1">
        <v>0.0</v>
      </c>
      <c r="U116" s="1">
        <v>0.0</v>
      </c>
      <c r="V116" s="1"/>
      <c r="W116" s="1"/>
      <c r="X116" s="1">
        <v>0.0</v>
      </c>
      <c r="Y116" s="1">
        <v>0.0</v>
      </c>
      <c r="Z116" s="1">
        <v>0.0</v>
      </c>
      <c r="AA116" s="1">
        <v>0.0</v>
      </c>
      <c r="AB116" s="1">
        <v>0.0</v>
      </c>
      <c r="AC116" s="1">
        <v>0.0</v>
      </c>
      <c r="AD116" s="1"/>
      <c r="AE116" s="1">
        <v>0.0</v>
      </c>
      <c r="AF116" s="1">
        <v>0.0</v>
      </c>
      <c r="AG116" s="1">
        <v>0.0</v>
      </c>
      <c r="AH116" s="1">
        <v>0.0</v>
      </c>
      <c r="AI116" s="1">
        <v>0.0</v>
      </c>
      <c r="AJ116" s="1"/>
      <c r="AK116" s="1">
        <v>0.0</v>
      </c>
      <c r="AL116" s="1">
        <v>0.0</v>
      </c>
      <c r="AM116" s="1"/>
      <c r="AN116" s="1">
        <v>0.0</v>
      </c>
      <c r="AO116" s="1">
        <v>0.0</v>
      </c>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2">
        <v>0.0</v>
      </c>
    </row>
    <row r="117" ht="15.75" customHeight="1">
      <c r="A117" s="11" t="s">
        <v>314</v>
      </c>
      <c r="B117" s="2">
        <v>4.0</v>
      </c>
      <c r="C117" s="1">
        <v>3.0</v>
      </c>
      <c r="D117" s="1"/>
      <c r="E117" s="1">
        <v>2.5</v>
      </c>
      <c r="F117" s="1"/>
      <c r="G117" s="1">
        <v>0.0</v>
      </c>
      <c r="H117" s="1">
        <v>0.0</v>
      </c>
      <c r="I117" s="1">
        <v>0.0</v>
      </c>
      <c r="J117" s="1">
        <v>0.0</v>
      </c>
      <c r="K117" s="1">
        <v>5.0</v>
      </c>
      <c r="L117" s="1">
        <v>0.0</v>
      </c>
      <c r="M117" s="1">
        <v>5.0</v>
      </c>
      <c r="N117" s="1">
        <v>5.0</v>
      </c>
      <c r="O117" s="1">
        <v>0.0</v>
      </c>
      <c r="P117" s="1"/>
      <c r="Q117" s="1">
        <v>5.0</v>
      </c>
      <c r="R117" s="1">
        <v>3.0</v>
      </c>
      <c r="S117" s="1">
        <v>0.0</v>
      </c>
      <c r="T117" s="1">
        <v>0.0</v>
      </c>
      <c r="U117" s="1">
        <v>0.0</v>
      </c>
      <c r="V117" s="1"/>
      <c r="W117" s="1"/>
      <c r="X117" s="1">
        <v>5.0</v>
      </c>
      <c r="Y117" s="1">
        <v>5.0</v>
      </c>
      <c r="Z117" s="1">
        <v>5.0</v>
      </c>
      <c r="AA117" s="1">
        <v>5.0</v>
      </c>
      <c r="AB117" s="1">
        <v>2.5</v>
      </c>
      <c r="AC117" s="1">
        <v>2.0</v>
      </c>
      <c r="AD117" s="1"/>
      <c r="AE117" s="1">
        <v>0.0</v>
      </c>
      <c r="AF117" s="1">
        <v>0.0</v>
      </c>
      <c r="AG117" s="1">
        <v>5.0</v>
      </c>
      <c r="AH117" s="1">
        <v>2.5</v>
      </c>
      <c r="AI117" s="1">
        <v>5.0</v>
      </c>
      <c r="AJ117" s="1"/>
      <c r="AK117" s="1">
        <v>6.0</v>
      </c>
      <c r="AL117" s="1">
        <v>5.0</v>
      </c>
      <c r="AM117" s="1"/>
      <c r="AN117" s="1">
        <v>0.0</v>
      </c>
      <c r="AO117" s="1">
        <v>2.5</v>
      </c>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2">
        <v>2.5</v>
      </c>
    </row>
    <row r="118" ht="15.75" customHeight="1">
      <c r="A118" s="11" t="s">
        <v>315</v>
      </c>
      <c r="B118" s="1">
        <v>0.0</v>
      </c>
      <c r="C118" s="1">
        <v>0.0</v>
      </c>
      <c r="D118" s="1"/>
      <c r="E118" s="1">
        <v>0.0</v>
      </c>
      <c r="F118" s="1"/>
      <c r="G118" s="1">
        <v>0.0</v>
      </c>
      <c r="H118" s="1">
        <v>0.0</v>
      </c>
      <c r="I118" s="1">
        <v>0.0</v>
      </c>
      <c r="J118" s="1">
        <v>0.0</v>
      </c>
      <c r="K118" s="1">
        <v>0.0</v>
      </c>
      <c r="L118" s="1">
        <v>0.0</v>
      </c>
      <c r="M118" s="1">
        <v>0.0</v>
      </c>
      <c r="N118" s="1">
        <v>0.0</v>
      </c>
      <c r="O118" s="1">
        <v>0.01</v>
      </c>
      <c r="P118" s="1"/>
      <c r="Q118" s="1">
        <v>0.0</v>
      </c>
      <c r="R118" s="1">
        <v>0.06</v>
      </c>
      <c r="S118" s="1">
        <v>0.0</v>
      </c>
      <c r="T118" s="1">
        <v>0.0</v>
      </c>
      <c r="U118" s="1">
        <v>0.0</v>
      </c>
      <c r="V118" s="1"/>
      <c r="W118" s="1"/>
      <c r="X118" s="1">
        <v>0.0</v>
      </c>
      <c r="Y118" s="1">
        <v>0.0</v>
      </c>
      <c r="Z118" s="1">
        <v>0.0</v>
      </c>
      <c r="AA118" s="1">
        <v>0.0</v>
      </c>
      <c r="AB118" s="1">
        <v>0.0</v>
      </c>
      <c r="AC118" s="1">
        <v>0.0</v>
      </c>
      <c r="AD118" s="1"/>
      <c r="AE118" s="1">
        <v>0.0</v>
      </c>
      <c r="AF118" s="1">
        <v>0.0</v>
      </c>
      <c r="AG118" s="1">
        <v>0.0</v>
      </c>
      <c r="AH118" s="1">
        <v>0.0</v>
      </c>
      <c r="AI118" s="1">
        <v>0.0</v>
      </c>
      <c r="AJ118" s="1"/>
      <c r="AK118" s="1">
        <v>0.0</v>
      </c>
      <c r="AL118" s="1">
        <v>0.0</v>
      </c>
      <c r="AM118" s="1"/>
      <c r="AN118" s="1">
        <v>0.0</v>
      </c>
      <c r="AO118" s="1">
        <v>0.0</v>
      </c>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2">
        <v>0.0</v>
      </c>
    </row>
    <row r="119" ht="15.75" customHeight="1">
      <c r="A119" s="11" t="s">
        <v>316</v>
      </c>
      <c r="B119" s="1">
        <v>0.0</v>
      </c>
      <c r="C119" s="1">
        <v>0.0</v>
      </c>
      <c r="D119" s="1"/>
      <c r="E119" s="1">
        <v>0.0</v>
      </c>
      <c r="F119" s="1"/>
      <c r="G119" s="1">
        <v>0.0</v>
      </c>
      <c r="H119" s="1">
        <v>0.375</v>
      </c>
      <c r="I119" s="1">
        <v>0.125</v>
      </c>
      <c r="J119" s="1">
        <v>0.0</v>
      </c>
      <c r="K119" s="1">
        <v>0.0</v>
      </c>
      <c r="L119" s="1">
        <v>0.0</v>
      </c>
      <c r="M119" s="1">
        <v>0.0</v>
      </c>
      <c r="N119" s="1">
        <v>0.0</v>
      </c>
      <c r="O119" s="1">
        <v>0.0</v>
      </c>
      <c r="P119" s="1"/>
      <c r="Q119" s="1">
        <v>0.0</v>
      </c>
      <c r="R119" s="1">
        <v>0.0</v>
      </c>
      <c r="S119" s="1">
        <v>0.375</v>
      </c>
      <c r="T119" s="1">
        <v>0.6</v>
      </c>
      <c r="U119" s="1">
        <v>0.0</v>
      </c>
      <c r="V119" s="1"/>
      <c r="W119" s="1"/>
      <c r="X119" s="1">
        <v>0.0</v>
      </c>
      <c r="Y119" s="1">
        <v>0.0</v>
      </c>
      <c r="Z119" s="1">
        <v>0.0</v>
      </c>
      <c r="AA119" s="1">
        <v>0.0</v>
      </c>
      <c r="AB119" s="1">
        <v>0.0</v>
      </c>
      <c r="AC119" s="1">
        <v>0.0</v>
      </c>
      <c r="AD119" s="1"/>
      <c r="AE119" s="1">
        <v>0.125</v>
      </c>
      <c r="AF119" s="1">
        <v>0.375</v>
      </c>
      <c r="AG119" s="1">
        <v>0.0</v>
      </c>
      <c r="AH119" s="1">
        <v>0.0</v>
      </c>
      <c r="AI119" s="1">
        <v>0.0</v>
      </c>
      <c r="AJ119" s="1"/>
      <c r="AK119" s="1">
        <v>0.0</v>
      </c>
      <c r="AL119" s="1">
        <v>0.0</v>
      </c>
      <c r="AM119" s="1"/>
      <c r="AN119" s="1">
        <v>0.0</v>
      </c>
      <c r="AO119" s="1">
        <v>0.0</v>
      </c>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2">
        <v>0.0</v>
      </c>
    </row>
    <row r="120" ht="15.75" customHeight="1">
      <c r="A120" s="11" t="s">
        <v>317</v>
      </c>
      <c r="B120" s="1">
        <v>0.0</v>
      </c>
      <c r="C120" s="1">
        <v>0.0</v>
      </c>
      <c r="D120" s="1"/>
      <c r="E120" s="1">
        <v>0.0</v>
      </c>
      <c r="F120" s="1"/>
      <c r="G120" s="1">
        <v>0.0</v>
      </c>
      <c r="H120" s="1">
        <v>0.03</v>
      </c>
      <c r="I120" s="1">
        <v>0.0</v>
      </c>
      <c r="J120" s="1">
        <v>0.0</v>
      </c>
      <c r="K120" s="1">
        <v>0.0</v>
      </c>
      <c r="L120" s="10">
        <v>0.03</v>
      </c>
      <c r="M120" s="1">
        <v>0.0</v>
      </c>
      <c r="N120" s="1">
        <v>0.0</v>
      </c>
      <c r="O120" s="1">
        <v>0.06</v>
      </c>
      <c r="P120" s="1"/>
      <c r="Q120" s="1">
        <v>0.0</v>
      </c>
      <c r="R120" s="1"/>
      <c r="S120" s="1">
        <v>0.0</v>
      </c>
      <c r="T120" s="1">
        <v>0.03</v>
      </c>
      <c r="U120" s="1">
        <v>0.0</v>
      </c>
      <c r="V120" s="1"/>
      <c r="W120" s="1"/>
      <c r="X120" s="1">
        <v>0.0</v>
      </c>
      <c r="Y120" s="1">
        <v>0.0</v>
      </c>
      <c r="Z120" s="1">
        <v>0.0</v>
      </c>
      <c r="AA120" s="1">
        <v>0.0</v>
      </c>
      <c r="AB120" s="1">
        <v>0.0</v>
      </c>
      <c r="AC120" s="1">
        <v>0.0</v>
      </c>
      <c r="AD120" s="1"/>
      <c r="AE120" s="1">
        <v>0.0</v>
      </c>
      <c r="AF120" s="1">
        <v>0.0</v>
      </c>
      <c r="AG120" s="1">
        <v>0.0</v>
      </c>
      <c r="AH120" s="1">
        <v>0.0</v>
      </c>
      <c r="AI120" s="1">
        <v>0.0</v>
      </c>
      <c r="AJ120" s="1"/>
      <c r="AK120" s="1">
        <v>0.0</v>
      </c>
      <c r="AL120" s="1">
        <v>0.0</v>
      </c>
      <c r="AM120" s="1"/>
      <c r="AN120" s="1">
        <v>0.06</v>
      </c>
      <c r="AO120" s="1">
        <v>0.0</v>
      </c>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2">
        <v>0.0</v>
      </c>
    </row>
    <row r="121" ht="15.75" customHeight="1">
      <c r="A121" s="11" t="s">
        <v>318</v>
      </c>
      <c r="B121" s="1">
        <v>0.0</v>
      </c>
      <c r="C121" s="1">
        <v>0.0</v>
      </c>
      <c r="D121" s="1"/>
      <c r="E121" s="1">
        <v>0.0</v>
      </c>
      <c r="F121" s="1"/>
      <c r="G121" s="1">
        <v>0.0</v>
      </c>
      <c r="H121" s="1">
        <v>0.0</v>
      </c>
      <c r="I121" s="1">
        <v>0.0</v>
      </c>
      <c r="J121" s="1">
        <v>0.0</v>
      </c>
      <c r="K121" s="1">
        <v>0.0</v>
      </c>
      <c r="L121" s="1">
        <v>0.0</v>
      </c>
      <c r="M121" s="1">
        <v>0.0</v>
      </c>
      <c r="N121" s="1">
        <v>0.0</v>
      </c>
      <c r="O121" s="1">
        <v>0.04</v>
      </c>
      <c r="P121" s="1"/>
      <c r="Q121" s="1">
        <v>0.0</v>
      </c>
      <c r="R121" s="1">
        <v>0.0</v>
      </c>
      <c r="S121" s="1">
        <v>0.0</v>
      </c>
      <c r="T121" s="1">
        <v>0.0</v>
      </c>
      <c r="U121" s="1">
        <v>0.0</v>
      </c>
      <c r="V121" s="1"/>
      <c r="W121" s="1"/>
      <c r="X121" s="1">
        <v>0.0</v>
      </c>
      <c r="Y121" s="1">
        <v>0.0</v>
      </c>
      <c r="Z121" s="1">
        <v>0.0</v>
      </c>
      <c r="AA121" s="1">
        <v>0.0</v>
      </c>
      <c r="AB121" s="1">
        <v>0.0</v>
      </c>
      <c r="AC121" s="1">
        <v>0.0</v>
      </c>
      <c r="AD121" s="1"/>
      <c r="AE121" s="1">
        <v>0.0</v>
      </c>
      <c r="AF121" s="1">
        <v>0.0</v>
      </c>
      <c r="AG121" s="1">
        <v>0.0</v>
      </c>
      <c r="AH121" s="1">
        <v>0.0</v>
      </c>
      <c r="AI121" s="1">
        <v>0.0</v>
      </c>
      <c r="AJ121" s="1"/>
      <c r="AK121" s="1">
        <v>0.0</v>
      </c>
      <c r="AL121" s="1">
        <v>0.0</v>
      </c>
      <c r="AM121" s="1"/>
      <c r="AN121" s="1">
        <v>0.0</v>
      </c>
      <c r="AO121" s="1">
        <v>0.0</v>
      </c>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2">
        <v>0.0</v>
      </c>
    </row>
    <row r="122" ht="15.75" customHeight="1">
      <c r="A122" s="3" t="s">
        <v>319</v>
      </c>
      <c r="B122" s="1">
        <f t="shared" ref="B122:BQ122" si="16"> N(B116) + N(B117) + 100*N(B118) + 10*N(B119) + 100*N(B120) + 10*N(B121)</f>
        <v>4</v>
      </c>
      <c r="C122" s="1">
        <f t="shared" si="16"/>
        <v>3</v>
      </c>
      <c r="D122" s="1">
        <f t="shared" si="16"/>
        <v>0</v>
      </c>
      <c r="E122" s="1">
        <f t="shared" si="16"/>
        <v>2.5</v>
      </c>
      <c r="F122" s="1">
        <f t="shared" si="16"/>
        <v>0</v>
      </c>
      <c r="G122" s="1">
        <f t="shared" si="16"/>
        <v>0</v>
      </c>
      <c r="H122" s="1">
        <f t="shared" si="16"/>
        <v>6.75</v>
      </c>
      <c r="I122" s="1">
        <f t="shared" si="16"/>
        <v>1.25</v>
      </c>
      <c r="J122" s="1">
        <f t="shared" si="16"/>
        <v>0</v>
      </c>
      <c r="K122" s="1">
        <f t="shared" si="16"/>
        <v>5</v>
      </c>
      <c r="L122" s="1">
        <f t="shared" si="16"/>
        <v>3</v>
      </c>
      <c r="M122" s="1">
        <f t="shared" si="16"/>
        <v>5</v>
      </c>
      <c r="N122" s="1">
        <f t="shared" si="16"/>
        <v>5</v>
      </c>
      <c r="O122" s="1">
        <f t="shared" si="16"/>
        <v>7.4</v>
      </c>
      <c r="P122" s="1">
        <f t="shared" si="16"/>
        <v>0</v>
      </c>
      <c r="Q122" s="1">
        <f t="shared" si="16"/>
        <v>5</v>
      </c>
      <c r="R122" s="1">
        <f t="shared" si="16"/>
        <v>9</v>
      </c>
      <c r="S122" s="1">
        <f t="shared" si="16"/>
        <v>3.75</v>
      </c>
      <c r="T122" s="1">
        <f t="shared" si="16"/>
        <v>9</v>
      </c>
      <c r="U122" s="1">
        <f t="shared" si="16"/>
        <v>0</v>
      </c>
      <c r="V122" s="1">
        <f t="shared" si="16"/>
        <v>0</v>
      </c>
      <c r="W122" s="1">
        <f t="shared" si="16"/>
        <v>0</v>
      </c>
      <c r="X122" s="1">
        <f t="shared" si="16"/>
        <v>5</v>
      </c>
      <c r="Y122" s="1">
        <f t="shared" si="16"/>
        <v>5</v>
      </c>
      <c r="Z122" s="1">
        <f t="shared" si="16"/>
        <v>5</v>
      </c>
      <c r="AA122" s="1">
        <f t="shared" si="16"/>
        <v>5</v>
      </c>
      <c r="AB122" s="1">
        <f t="shared" si="16"/>
        <v>2.5</v>
      </c>
      <c r="AC122" s="1">
        <f t="shared" si="16"/>
        <v>2</v>
      </c>
      <c r="AD122" s="1">
        <f t="shared" si="16"/>
        <v>0</v>
      </c>
      <c r="AE122" s="1">
        <f t="shared" si="16"/>
        <v>1.25</v>
      </c>
      <c r="AF122" s="1">
        <f t="shared" si="16"/>
        <v>3.75</v>
      </c>
      <c r="AG122" s="1">
        <f t="shared" si="16"/>
        <v>5</v>
      </c>
      <c r="AH122" s="1">
        <f t="shared" si="16"/>
        <v>2.5</v>
      </c>
      <c r="AI122" s="1">
        <f t="shared" si="16"/>
        <v>5</v>
      </c>
      <c r="AJ122" s="1">
        <f t="shared" si="16"/>
        <v>0</v>
      </c>
      <c r="AK122" s="1">
        <f t="shared" si="16"/>
        <v>6</v>
      </c>
      <c r="AL122" s="1">
        <f t="shared" si="16"/>
        <v>5</v>
      </c>
      <c r="AM122" s="1">
        <f t="shared" si="16"/>
        <v>0</v>
      </c>
      <c r="AN122" s="1">
        <f t="shared" si="16"/>
        <v>6</v>
      </c>
      <c r="AO122" s="1">
        <f t="shared" si="16"/>
        <v>2.5</v>
      </c>
      <c r="AP122" s="1">
        <f t="shared" si="16"/>
        <v>0</v>
      </c>
      <c r="AQ122" s="1">
        <f t="shared" si="16"/>
        <v>0</v>
      </c>
      <c r="AR122" s="1">
        <f t="shared" si="16"/>
        <v>0</v>
      </c>
      <c r="AS122" s="1">
        <f t="shared" si="16"/>
        <v>0</v>
      </c>
      <c r="AT122" s="1">
        <f t="shared" si="16"/>
        <v>0</v>
      </c>
      <c r="AU122" s="1">
        <f t="shared" si="16"/>
        <v>0</v>
      </c>
      <c r="AV122" s="1">
        <f t="shared" si="16"/>
        <v>0</v>
      </c>
      <c r="AW122" s="1">
        <f t="shared" si="16"/>
        <v>0</v>
      </c>
      <c r="AX122" s="1">
        <f t="shared" si="16"/>
        <v>0</v>
      </c>
      <c r="AY122" s="1">
        <f t="shared" si="16"/>
        <v>0</v>
      </c>
      <c r="AZ122" s="1">
        <f t="shared" si="16"/>
        <v>0</v>
      </c>
      <c r="BA122" s="1">
        <f t="shared" si="16"/>
        <v>0</v>
      </c>
      <c r="BB122" s="1">
        <f t="shared" si="16"/>
        <v>0</v>
      </c>
      <c r="BC122" s="1">
        <f t="shared" si="16"/>
        <v>0</v>
      </c>
      <c r="BD122" s="1">
        <f t="shared" si="16"/>
        <v>0</v>
      </c>
      <c r="BE122" s="1">
        <f t="shared" si="16"/>
        <v>0</v>
      </c>
      <c r="BF122" s="1">
        <f t="shared" si="16"/>
        <v>0</v>
      </c>
      <c r="BG122" s="1">
        <f t="shared" si="16"/>
        <v>0</v>
      </c>
      <c r="BH122" s="1">
        <f t="shared" si="16"/>
        <v>0</v>
      </c>
      <c r="BI122" s="1">
        <f t="shared" si="16"/>
        <v>0</v>
      </c>
      <c r="BJ122" s="1">
        <f t="shared" si="16"/>
        <v>0</v>
      </c>
      <c r="BK122" s="1">
        <f t="shared" si="16"/>
        <v>0</v>
      </c>
      <c r="BL122" s="1">
        <f t="shared" si="16"/>
        <v>0</v>
      </c>
      <c r="BM122" s="1">
        <f t="shared" si="16"/>
        <v>0</v>
      </c>
      <c r="BN122" s="1">
        <f t="shared" si="16"/>
        <v>0</v>
      </c>
      <c r="BO122" s="1">
        <f t="shared" si="16"/>
        <v>0</v>
      </c>
      <c r="BP122" s="1">
        <f t="shared" si="16"/>
        <v>0</v>
      </c>
      <c r="BQ122" s="1">
        <f t="shared" si="16"/>
        <v>2.5</v>
      </c>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row>
    <row r="124" ht="15.75" customHeight="1">
      <c r="A124" s="17" t="s">
        <v>320</v>
      </c>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row>
    <row r="125" ht="15.75" customHeight="1">
      <c r="A125" s="11" t="s">
        <v>321</v>
      </c>
      <c r="B125" s="1">
        <v>30.0</v>
      </c>
      <c r="C125" s="1">
        <v>480.0</v>
      </c>
      <c r="D125" s="1"/>
      <c r="E125" s="1">
        <v>160.0</v>
      </c>
      <c r="F125" s="1"/>
      <c r="G125" s="1">
        <v>360.0</v>
      </c>
      <c r="H125" s="1">
        <v>320.0</v>
      </c>
      <c r="I125" s="1">
        <v>160.0</v>
      </c>
      <c r="J125" s="1">
        <v>0.0</v>
      </c>
      <c r="K125" s="1">
        <v>320.0</v>
      </c>
      <c r="L125" s="1">
        <v>160.0</v>
      </c>
      <c r="M125" s="1">
        <v>480.0</v>
      </c>
      <c r="N125" s="1">
        <v>320.0</v>
      </c>
      <c r="O125" s="1">
        <v>0.0</v>
      </c>
      <c r="P125" s="1"/>
      <c r="Q125" s="1">
        <v>320.0</v>
      </c>
      <c r="R125" s="1">
        <v>80.0</v>
      </c>
      <c r="S125" s="1">
        <v>80.0</v>
      </c>
      <c r="T125" s="1">
        <v>160.0</v>
      </c>
      <c r="U125" s="1">
        <v>0.0</v>
      </c>
      <c r="V125" s="1"/>
      <c r="W125" s="1"/>
      <c r="X125" s="1">
        <v>160.0</v>
      </c>
      <c r="Y125" s="1">
        <v>480.0</v>
      </c>
      <c r="Z125" s="1">
        <v>80.0</v>
      </c>
      <c r="AA125" s="1">
        <v>480.0</v>
      </c>
      <c r="AB125" s="1">
        <v>320.0</v>
      </c>
      <c r="AC125" s="1">
        <v>40.0</v>
      </c>
      <c r="AD125" s="1"/>
      <c r="AE125" s="1">
        <v>160.0</v>
      </c>
      <c r="AF125" s="1">
        <v>320.0</v>
      </c>
      <c r="AG125" s="2">
        <v>640.0</v>
      </c>
      <c r="AH125" s="1">
        <v>160.0</v>
      </c>
      <c r="AI125" s="1">
        <v>160.0</v>
      </c>
      <c r="AJ125" s="1"/>
      <c r="AK125" s="1">
        <v>640.0</v>
      </c>
      <c r="AL125" s="1">
        <v>560.0</v>
      </c>
      <c r="AM125" s="1"/>
      <c r="AN125" s="1">
        <v>320.0</v>
      </c>
      <c r="AO125" s="1">
        <v>160.0</v>
      </c>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2" t="s">
        <v>322</v>
      </c>
    </row>
    <row r="126" ht="15.75" customHeight="1">
      <c r="A126" s="11" t="s">
        <v>323</v>
      </c>
      <c r="B126" s="1">
        <v>0.0</v>
      </c>
      <c r="C126" s="2">
        <v>0.0</v>
      </c>
      <c r="E126" s="2">
        <v>0.0</v>
      </c>
      <c r="G126" s="2">
        <v>0.0</v>
      </c>
      <c r="H126" s="2">
        <v>0.0</v>
      </c>
      <c r="I126" s="2">
        <v>0.0</v>
      </c>
      <c r="J126" s="2">
        <v>0.0</v>
      </c>
      <c r="K126" s="2">
        <v>0.0</v>
      </c>
      <c r="L126" s="2">
        <v>0.0</v>
      </c>
      <c r="M126" s="2">
        <v>0.0</v>
      </c>
      <c r="N126" s="2">
        <v>0.0</v>
      </c>
      <c r="O126" s="2">
        <v>0.0</v>
      </c>
      <c r="Q126" s="2">
        <v>0.0</v>
      </c>
      <c r="R126" s="2">
        <v>0.0</v>
      </c>
      <c r="S126" s="2">
        <v>1.0</v>
      </c>
      <c r="T126" s="2">
        <v>0.0</v>
      </c>
      <c r="U126" s="2">
        <v>0.0</v>
      </c>
      <c r="X126" s="2">
        <v>0.0</v>
      </c>
      <c r="Y126" s="2">
        <v>0.0</v>
      </c>
      <c r="Z126" s="2">
        <v>0.0</v>
      </c>
      <c r="AA126" s="2">
        <v>0.0</v>
      </c>
      <c r="AB126" s="2">
        <v>0.0</v>
      </c>
      <c r="AC126" s="2">
        <v>0.0</v>
      </c>
      <c r="AE126" s="2">
        <v>0.0</v>
      </c>
      <c r="AF126" s="2">
        <v>0.0</v>
      </c>
      <c r="AG126" s="2">
        <v>0.0</v>
      </c>
      <c r="AH126" s="2">
        <v>0.0</v>
      </c>
      <c r="AI126" s="2">
        <v>0.0</v>
      </c>
      <c r="AK126" s="2">
        <v>1.0</v>
      </c>
      <c r="AL126" s="2">
        <v>1.0</v>
      </c>
      <c r="AN126" s="2">
        <v>0.0</v>
      </c>
      <c r="AO126" s="2">
        <v>1.0</v>
      </c>
      <c r="BQ126" s="2" t="s">
        <v>322</v>
      </c>
    </row>
    <row r="127" ht="15.75" customHeight="1">
      <c r="A127" s="1"/>
      <c r="B127" s="1"/>
    </row>
    <row r="128" ht="15.75" customHeight="1">
      <c r="A128" s="17" t="s">
        <v>324</v>
      </c>
      <c r="B128" s="1"/>
    </row>
    <row r="129" ht="15.75" customHeight="1">
      <c r="A129" s="11" t="s">
        <v>321</v>
      </c>
      <c r="B129" s="1">
        <v>160.0</v>
      </c>
      <c r="C129" s="2">
        <v>480.0</v>
      </c>
      <c r="E129" s="2">
        <v>320.0</v>
      </c>
      <c r="G129" s="2">
        <v>160.0</v>
      </c>
      <c r="H129" s="2">
        <v>320.0</v>
      </c>
      <c r="I129" s="2">
        <v>80.0</v>
      </c>
      <c r="J129" s="2">
        <v>0.0</v>
      </c>
      <c r="K129" s="2">
        <v>320.0</v>
      </c>
      <c r="L129" s="2">
        <v>0.0</v>
      </c>
      <c r="M129" s="2">
        <v>480.0</v>
      </c>
      <c r="N129" s="2">
        <v>160.0</v>
      </c>
      <c r="O129" s="2">
        <v>0.0</v>
      </c>
      <c r="Q129" s="2">
        <v>640.0</v>
      </c>
      <c r="R129" s="2">
        <v>160.0</v>
      </c>
      <c r="S129" s="2">
        <v>480.0</v>
      </c>
      <c r="T129" s="2">
        <v>0.0</v>
      </c>
      <c r="U129" s="2">
        <v>40.0</v>
      </c>
      <c r="X129" s="2">
        <v>80.0</v>
      </c>
      <c r="Y129" s="2">
        <v>320.0</v>
      </c>
      <c r="Z129" s="2">
        <v>0.0</v>
      </c>
      <c r="AA129" s="2">
        <v>160.0</v>
      </c>
      <c r="AB129" s="2">
        <v>0.0</v>
      </c>
      <c r="AC129" s="2">
        <v>40.0</v>
      </c>
      <c r="AE129" s="2">
        <v>0.0</v>
      </c>
      <c r="AF129" s="2">
        <v>240.0</v>
      </c>
      <c r="AG129" s="1">
        <v>480.0</v>
      </c>
      <c r="AH129" s="2">
        <v>160.0</v>
      </c>
      <c r="AI129" s="2">
        <v>480.0</v>
      </c>
      <c r="AK129" s="2">
        <v>640.0</v>
      </c>
      <c r="AL129" s="2">
        <v>640.0</v>
      </c>
      <c r="AN129" s="2">
        <v>160.0</v>
      </c>
      <c r="AO129" s="2">
        <v>0.0</v>
      </c>
      <c r="BQ129" s="2" t="s">
        <v>322</v>
      </c>
    </row>
    <row r="130" ht="15.75" customHeight="1">
      <c r="A130" s="11" t="s">
        <v>323</v>
      </c>
      <c r="B130" s="1">
        <v>0.0</v>
      </c>
      <c r="C130" s="2">
        <v>0.0</v>
      </c>
      <c r="E130" s="2">
        <v>0.0</v>
      </c>
      <c r="G130" s="2">
        <v>0.0</v>
      </c>
      <c r="H130" s="2">
        <v>0.0</v>
      </c>
      <c r="I130" s="2">
        <v>0.0</v>
      </c>
      <c r="J130" s="2">
        <v>0.0</v>
      </c>
      <c r="K130" s="2">
        <v>0.0</v>
      </c>
      <c r="L130" s="2">
        <v>0.0</v>
      </c>
      <c r="M130" s="2">
        <v>0.0</v>
      </c>
      <c r="N130" s="2">
        <v>0.0</v>
      </c>
      <c r="O130" s="2">
        <v>0.0</v>
      </c>
      <c r="Q130" s="2">
        <v>0.0</v>
      </c>
      <c r="R130" s="2">
        <v>0.0</v>
      </c>
      <c r="S130" s="2">
        <v>0.0</v>
      </c>
      <c r="T130" s="2">
        <v>0.0</v>
      </c>
      <c r="U130" s="2">
        <v>0.0</v>
      </c>
      <c r="X130" s="2">
        <v>0.0</v>
      </c>
      <c r="Y130" s="2">
        <v>0.0</v>
      </c>
      <c r="Z130" s="2">
        <v>0.0</v>
      </c>
      <c r="AA130" s="2">
        <v>0.0</v>
      </c>
      <c r="AB130" s="2">
        <v>0.0</v>
      </c>
      <c r="AC130" s="2">
        <v>0.0</v>
      </c>
      <c r="AE130" s="2">
        <v>0.0</v>
      </c>
      <c r="AF130" s="2">
        <v>0.0</v>
      </c>
      <c r="AG130" s="2">
        <v>0.0</v>
      </c>
      <c r="AH130" s="2">
        <v>0.0</v>
      </c>
      <c r="AI130" s="2">
        <v>0.0</v>
      </c>
      <c r="AK130" s="2">
        <v>1.0</v>
      </c>
      <c r="AL130" s="2">
        <v>1.0</v>
      </c>
      <c r="AN130" s="2">
        <v>0.0</v>
      </c>
      <c r="AO130" s="2">
        <v>0.0</v>
      </c>
      <c r="BQ130" s="2" t="s">
        <v>232</v>
      </c>
    </row>
    <row r="131" ht="15.75" customHeight="1">
      <c r="A131" s="1"/>
      <c r="B131" s="1"/>
    </row>
    <row r="132" ht="15.75" customHeight="1">
      <c r="A132" s="4" t="s">
        <v>325</v>
      </c>
      <c r="B132" s="1"/>
    </row>
    <row r="133" ht="15.75" customHeight="1">
      <c r="A133" s="1" t="s">
        <v>326</v>
      </c>
      <c r="B133" s="1">
        <v>8.0</v>
      </c>
      <c r="C133" s="2">
        <v>6.0</v>
      </c>
      <c r="E133" s="2">
        <v>4.0</v>
      </c>
      <c r="G133" s="2">
        <v>7.0</v>
      </c>
      <c r="H133" s="2">
        <v>5.0</v>
      </c>
      <c r="I133" s="2">
        <v>4.0</v>
      </c>
      <c r="J133" s="2">
        <v>6.0</v>
      </c>
      <c r="K133" s="2">
        <v>6.0</v>
      </c>
      <c r="L133" s="2">
        <v>4.0</v>
      </c>
      <c r="M133" s="2">
        <v>6.0</v>
      </c>
      <c r="N133" s="2">
        <v>7.0</v>
      </c>
      <c r="Q133" s="2">
        <v>8.0</v>
      </c>
      <c r="R133" s="2">
        <v>6.0</v>
      </c>
      <c r="S133" s="2">
        <v>8.0</v>
      </c>
      <c r="T133" s="2">
        <v>6.0</v>
      </c>
      <c r="U133" s="2">
        <v>6.0</v>
      </c>
      <c r="X133" s="2">
        <v>6.0</v>
      </c>
      <c r="Y133" s="2">
        <v>7.0</v>
      </c>
      <c r="Z133" s="2">
        <v>5.0</v>
      </c>
      <c r="AA133" s="2">
        <v>4.0</v>
      </c>
      <c r="AB133" s="2">
        <v>7.0</v>
      </c>
      <c r="AC133" s="2">
        <v>8.0</v>
      </c>
      <c r="AE133" s="2">
        <v>5.0</v>
      </c>
      <c r="AF133" s="2">
        <v>6.0</v>
      </c>
      <c r="AG133" s="2">
        <v>4.0</v>
      </c>
      <c r="AH133" s="2">
        <v>6.0</v>
      </c>
      <c r="AI133" s="2">
        <v>5.0</v>
      </c>
      <c r="AK133" s="2">
        <v>7.0</v>
      </c>
      <c r="AL133" s="2">
        <v>5.0</v>
      </c>
      <c r="AN133" s="2">
        <v>4.0</v>
      </c>
      <c r="AO133" s="2">
        <v>6.0</v>
      </c>
      <c r="BQ133" s="2" t="s">
        <v>327</v>
      </c>
    </row>
    <row r="134" ht="15.75" customHeight="1">
      <c r="A134" s="1" t="s">
        <v>328</v>
      </c>
      <c r="B134" s="1">
        <v>4.1</v>
      </c>
      <c r="C134" s="2">
        <v>3.7</v>
      </c>
      <c r="E134" s="2">
        <v>2.1</v>
      </c>
      <c r="G134" s="2">
        <v>4.1</v>
      </c>
      <c r="H134" s="2">
        <v>2.5</v>
      </c>
      <c r="I134" s="2">
        <v>2.1</v>
      </c>
      <c r="J134" s="2">
        <v>3.0</v>
      </c>
      <c r="K134" s="2">
        <v>3.6</v>
      </c>
      <c r="L134" s="2">
        <v>2.2</v>
      </c>
      <c r="M134" s="2">
        <v>3.4</v>
      </c>
      <c r="N134" s="2">
        <v>4.0</v>
      </c>
      <c r="Q134" s="2">
        <v>4.8</v>
      </c>
      <c r="R134" s="2">
        <v>3.4</v>
      </c>
      <c r="S134" s="2">
        <v>5.1</v>
      </c>
      <c r="T134" s="2">
        <v>3.6</v>
      </c>
      <c r="U134" s="2">
        <v>3.1</v>
      </c>
      <c r="X134" s="2">
        <v>3.6</v>
      </c>
      <c r="Y134" s="2">
        <v>4.0</v>
      </c>
      <c r="Z134" s="2">
        <v>3.0</v>
      </c>
      <c r="AA134" s="2">
        <v>2.6</v>
      </c>
      <c r="AB134" s="2">
        <v>4.1</v>
      </c>
      <c r="AC134" s="2">
        <v>4.8</v>
      </c>
      <c r="AE134" s="2">
        <v>2.7</v>
      </c>
      <c r="AF134" s="2">
        <v>3.8</v>
      </c>
      <c r="AG134" s="2">
        <v>2.2</v>
      </c>
      <c r="AH134" s="2">
        <v>3.4</v>
      </c>
      <c r="AI134" s="2">
        <v>2.1</v>
      </c>
      <c r="AK134" s="2">
        <v>4.4</v>
      </c>
      <c r="AL134" s="2">
        <v>2.4</v>
      </c>
      <c r="AN134" s="2">
        <v>2.5</v>
      </c>
      <c r="AO134" s="2">
        <v>3.4</v>
      </c>
      <c r="BQ134" s="2">
        <v>4.7</v>
      </c>
    </row>
    <row r="135" ht="15.75" customHeight="1">
      <c r="A135" s="1"/>
      <c r="B135" s="1"/>
    </row>
    <row r="136" ht="15.75" customHeight="1"/>
    <row r="137" ht="15.75" customHeight="1">
      <c r="A137" s="4" t="s">
        <v>329</v>
      </c>
      <c r="B137" s="6" t="s">
        <v>330</v>
      </c>
      <c r="E137" s="6" t="s">
        <v>331</v>
      </c>
      <c r="S137" s="6" t="s">
        <v>332</v>
      </c>
      <c r="Y137" s="6" t="s">
        <v>333</v>
      </c>
      <c r="AC137" s="6" t="s">
        <v>334</v>
      </c>
    </row>
    <row r="138" ht="15.75" customHeight="1">
      <c r="A138" s="1" t="s">
        <v>338</v>
      </c>
      <c r="B138" s="2">
        <v>0.0</v>
      </c>
      <c r="C138" s="2">
        <v>0.0</v>
      </c>
      <c r="E138" s="2">
        <v>0.0</v>
      </c>
      <c r="G138" s="2">
        <v>0.0</v>
      </c>
      <c r="H138" s="2">
        <v>0.0</v>
      </c>
      <c r="I138" s="2">
        <v>0.0</v>
      </c>
      <c r="J138" s="2">
        <v>0.0</v>
      </c>
      <c r="K138" s="2">
        <v>0.0</v>
      </c>
      <c r="L138" s="2">
        <v>0.0</v>
      </c>
      <c r="M138" s="2">
        <v>1.0</v>
      </c>
      <c r="N138" s="2">
        <v>1.0</v>
      </c>
      <c r="O138" s="2">
        <v>1.0</v>
      </c>
      <c r="Q138" s="2">
        <v>0.0</v>
      </c>
      <c r="R138" s="2">
        <v>0.0</v>
      </c>
      <c r="S138" s="2">
        <v>0.0</v>
      </c>
      <c r="T138" s="2">
        <v>0.0</v>
      </c>
      <c r="U138" s="2">
        <v>0.0</v>
      </c>
      <c r="X138" s="2">
        <v>0.0</v>
      </c>
      <c r="Y138" s="2">
        <v>0.0</v>
      </c>
      <c r="Z138" s="2">
        <v>0.0</v>
      </c>
      <c r="AA138" s="2">
        <v>0.0</v>
      </c>
      <c r="AB138" s="2">
        <v>0.0</v>
      </c>
      <c r="AC138" s="2">
        <v>0.0</v>
      </c>
      <c r="AE138" s="2">
        <v>0.0</v>
      </c>
      <c r="AF138" s="2">
        <v>0.0</v>
      </c>
      <c r="AG138" s="2">
        <v>0.0</v>
      </c>
      <c r="AH138" s="2">
        <v>0.0</v>
      </c>
      <c r="AI138" s="2">
        <v>0.0</v>
      </c>
      <c r="AK138" s="2">
        <v>0.0</v>
      </c>
      <c r="AL138" s="2">
        <v>0.0</v>
      </c>
      <c r="AN138" s="2">
        <v>1.0</v>
      </c>
      <c r="AO138" s="2">
        <v>1.0</v>
      </c>
      <c r="BQ138" s="2" t="s">
        <v>339</v>
      </c>
    </row>
    <row r="139" ht="15.75" customHeight="1">
      <c r="A139" s="1" t="s">
        <v>340</v>
      </c>
      <c r="B139" s="2">
        <v>0.0</v>
      </c>
      <c r="C139" s="2">
        <v>0.0</v>
      </c>
      <c r="E139" s="2">
        <v>0.0</v>
      </c>
      <c r="G139" s="2">
        <v>0.0</v>
      </c>
      <c r="H139" s="2">
        <v>0.0</v>
      </c>
      <c r="I139" s="2">
        <v>0.0</v>
      </c>
      <c r="J139" s="2">
        <v>0.0</v>
      </c>
      <c r="K139" s="2">
        <v>0.0</v>
      </c>
      <c r="L139" s="2">
        <v>0.0</v>
      </c>
      <c r="M139" s="2">
        <v>1.0</v>
      </c>
      <c r="N139" s="2">
        <v>1.0</v>
      </c>
      <c r="O139" s="2">
        <v>1.0</v>
      </c>
      <c r="Q139" s="2">
        <v>0.0</v>
      </c>
      <c r="R139" s="2">
        <v>0.0</v>
      </c>
      <c r="S139" s="2">
        <v>0.0</v>
      </c>
      <c r="T139" s="2">
        <v>0.0</v>
      </c>
      <c r="U139" s="2">
        <v>0.0</v>
      </c>
      <c r="X139" s="2">
        <v>0.0</v>
      </c>
      <c r="Y139" s="2">
        <v>0.0</v>
      </c>
      <c r="Z139" s="2">
        <v>0.0</v>
      </c>
      <c r="AA139" s="2">
        <v>0.0</v>
      </c>
      <c r="AB139" s="2">
        <v>0.0</v>
      </c>
      <c r="AC139" s="2">
        <v>0.0</v>
      </c>
      <c r="AE139" s="2">
        <v>0.0</v>
      </c>
      <c r="AF139" s="2">
        <v>0.0</v>
      </c>
      <c r="AG139" s="2">
        <v>0.0</v>
      </c>
      <c r="AH139" s="2">
        <v>0.0</v>
      </c>
      <c r="AI139" s="2">
        <v>0.0</v>
      </c>
      <c r="AK139" s="2">
        <v>0.0</v>
      </c>
      <c r="AL139" s="2">
        <v>0.0</v>
      </c>
      <c r="AN139" s="2">
        <v>1.0</v>
      </c>
      <c r="AO139" s="2">
        <v>0.0</v>
      </c>
      <c r="BQ139" s="2" t="s">
        <v>341</v>
      </c>
    </row>
    <row r="140" ht="15.75" customHeight="1">
      <c r="A140" s="1" t="s">
        <v>342</v>
      </c>
      <c r="B140" s="2">
        <v>0.0</v>
      </c>
      <c r="C140" s="2">
        <v>1.0</v>
      </c>
      <c r="E140" s="2">
        <v>0.0</v>
      </c>
      <c r="G140" s="2">
        <v>0.0</v>
      </c>
      <c r="H140" s="2">
        <v>0.0</v>
      </c>
      <c r="I140" s="2">
        <v>0.0</v>
      </c>
      <c r="J140" s="2">
        <v>0.0</v>
      </c>
      <c r="K140" s="2">
        <v>0.0</v>
      </c>
      <c r="L140" s="2">
        <v>0.0</v>
      </c>
      <c r="M140" s="2">
        <v>0.0</v>
      </c>
      <c r="N140" s="2">
        <v>1.0</v>
      </c>
      <c r="O140" s="2">
        <v>1.0</v>
      </c>
      <c r="Q140" s="2">
        <v>0.0</v>
      </c>
      <c r="R140" s="2">
        <v>0.0</v>
      </c>
      <c r="S140" s="2">
        <v>0.0</v>
      </c>
      <c r="T140" s="2">
        <v>0.0</v>
      </c>
      <c r="U140" s="2">
        <v>0.0</v>
      </c>
      <c r="X140" s="2">
        <v>0.0</v>
      </c>
      <c r="Y140" s="2">
        <v>0.0</v>
      </c>
      <c r="Z140" s="2">
        <v>0.0</v>
      </c>
      <c r="AA140" s="2">
        <v>1.0</v>
      </c>
      <c r="AB140" s="2">
        <v>0.0</v>
      </c>
      <c r="AC140" s="2">
        <v>0.0</v>
      </c>
      <c r="AE140" s="2">
        <v>0.0</v>
      </c>
      <c r="AF140" s="2">
        <v>1.0</v>
      </c>
      <c r="AG140" s="2">
        <v>0.0</v>
      </c>
      <c r="AH140" s="2">
        <v>0.0</v>
      </c>
      <c r="AI140" s="2">
        <v>0.0</v>
      </c>
      <c r="AK140" s="2">
        <v>0.0</v>
      </c>
      <c r="AL140" s="2">
        <v>0.0</v>
      </c>
      <c r="AN140" s="2">
        <v>0.0</v>
      </c>
      <c r="AO140" s="2">
        <v>1.0</v>
      </c>
      <c r="BQ140" s="2" t="s">
        <v>341</v>
      </c>
    </row>
    <row r="141" ht="15.75" customHeight="1">
      <c r="A141" s="1" t="s">
        <v>343</v>
      </c>
      <c r="B141" s="2">
        <v>3.0</v>
      </c>
      <c r="C141" s="2">
        <v>3.0</v>
      </c>
      <c r="E141" s="2">
        <v>3.0</v>
      </c>
      <c r="G141" s="2">
        <v>3.0</v>
      </c>
      <c r="H141" s="2">
        <v>3.0</v>
      </c>
      <c r="I141" s="2">
        <v>3.0</v>
      </c>
      <c r="J141" s="2">
        <v>3.0</v>
      </c>
      <c r="K141" s="2">
        <v>3.0</v>
      </c>
      <c r="L141" s="2" t="s">
        <v>344</v>
      </c>
      <c r="M141" s="2">
        <v>4.0</v>
      </c>
      <c r="N141" s="2">
        <v>4.0</v>
      </c>
      <c r="O141" s="2">
        <v>4.0</v>
      </c>
      <c r="P141" s="2">
        <v>4.0</v>
      </c>
      <c r="Q141" s="2">
        <v>3.0</v>
      </c>
      <c r="R141" s="2">
        <v>2.0</v>
      </c>
      <c r="S141" s="2">
        <v>3.0</v>
      </c>
      <c r="T141" s="2" t="s">
        <v>345</v>
      </c>
      <c r="U141" s="2">
        <v>3.0</v>
      </c>
      <c r="X141" s="2">
        <v>3.0</v>
      </c>
      <c r="Y141" s="2">
        <v>2.0</v>
      </c>
      <c r="Z141" s="2">
        <v>3.0</v>
      </c>
      <c r="AA141" s="2">
        <v>4.0</v>
      </c>
      <c r="AB141" s="2">
        <v>3.0</v>
      </c>
      <c r="AC141" s="2">
        <v>2.0</v>
      </c>
      <c r="AE141" s="2">
        <v>3.0</v>
      </c>
      <c r="AF141" s="2" t="s">
        <v>345</v>
      </c>
      <c r="AG141" s="2">
        <v>4.0</v>
      </c>
      <c r="AH141" s="2">
        <v>3.0</v>
      </c>
      <c r="AI141" s="2">
        <v>2.0</v>
      </c>
      <c r="AK141" s="2">
        <v>4.0</v>
      </c>
      <c r="AL141" s="2">
        <v>2.0</v>
      </c>
      <c r="AN141" s="2">
        <v>4.0</v>
      </c>
      <c r="AO141" s="2">
        <v>2.0</v>
      </c>
      <c r="BQ141" s="2" t="s">
        <v>346</v>
      </c>
    </row>
    <row r="142" ht="15.75" customHeight="1"/>
    <row r="143" ht="15.75" customHeight="1">
      <c r="A143" s="18" t="s">
        <v>347</v>
      </c>
      <c r="N143" s="6" t="s">
        <v>348</v>
      </c>
      <c r="R143" s="6" t="s">
        <v>349</v>
      </c>
      <c r="T143" s="6" t="s">
        <v>565</v>
      </c>
      <c r="U143" s="6" t="s">
        <v>350</v>
      </c>
      <c r="Z143" s="6" t="s">
        <v>351</v>
      </c>
      <c r="AB143" s="6" t="s">
        <v>352</v>
      </c>
      <c r="AC143" s="2" t="s">
        <v>353</v>
      </c>
      <c r="AH143" s="6" t="s">
        <v>566</v>
      </c>
    </row>
    <row r="144" ht="15.75" customHeight="1">
      <c r="A144" s="19" t="s">
        <v>362</v>
      </c>
      <c r="B144" s="2">
        <v>0.515</v>
      </c>
      <c r="C144" s="2">
        <v>0.524</v>
      </c>
      <c r="E144" s="2">
        <v>0.324</v>
      </c>
      <c r="G144" s="2">
        <v>0.305</v>
      </c>
      <c r="H144" s="2">
        <v>0.229</v>
      </c>
      <c r="I144" s="2">
        <v>0.465</v>
      </c>
      <c r="J144" s="2">
        <v>0.249</v>
      </c>
      <c r="K144" s="2">
        <v>0.538</v>
      </c>
      <c r="L144" s="2">
        <v>0.364</v>
      </c>
      <c r="M144" s="2">
        <v>0.285</v>
      </c>
      <c r="Q144" s="2">
        <v>1.163</v>
      </c>
      <c r="S144" s="2">
        <v>0.579</v>
      </c>
      <c r="X144" s="2">
        <v>0.351</v>
      </c>
      <c r="Y144" s="2">
        <v>0.664</v>
      </c>
      <c r="AA144" s="2">
        <v>0.606</v>
      </c>
      <c r="AB144" s="2">
        <v>0.293</v>
      </c>
      <c r="AE144" s="2">
        <v>0.33</v>
      </c>
      <c r="AF144" s="2">
        <v>0.099</v>
      </c>
      <c r="AG144" s="2">
        <v>0.402</v>
      </c>
      <c r="AI144" s="2">
        <v>0.31</v>
      </c>
      <c r="AK144" s="2">
        <v>0.349</v>
      </c>
      <c r="AL144" s="2">
        <v>0.573</v>
      </c>
      <c r="AN144" s="2">
        <v>0.285</v>
      </c>
      <c r="AO144" s="2">
        <v>0.911</v>
      </c>
      <c r="BQ144" s="2">
        <v>0.24</v>
      </c>
    </row>
    <row r="145" ht="15.75" customHeight="1">
      <c r="A145" s="2" t="s">
        <v>364</v>
      </c>
      <c r="B145" s="2">
        <v>1.457</v>
      </c>
      <c r="C145" s="2">
        <v>1.593</v>
      </c>
      <c r="E145" s="2">
        <v>0.64</v>
      </c>
      <c r="G145" s="2">
        <v>1.219</v>
      </c>
      <c r="H145" s="2">
        <v>1.346</v>
      </c>
      <c r="I145" s="2">
        <v>1.21</v>
      </c>
      <c r="J145" s="2">
        <v>0.428</v>
      </c>
      <c r="K145" s="2">
        <v>0.828</v>
      </c>
      <c r="L145" s="2">
        <v>1.322</v>
      </c>
      <c r="M145" s="2">
        <v>0.43</v>
      </c>
      <c r="Q145" s="2">
        <v>1.716</v>
      </c>
      <c r="S145" s="2">
        <v>1.256</v>
      </c>
      <c r="X145" s="2">
        <v>0.79</v>
      </c>
      <c r="Y145" s="2">
        <v>1.26</v>
      </c>
      <c r="AA145" s="2">
        <v>0.962</v>
      </c>
      <c r="AB145" s="2">
        <v>0.728</v>
      </c>
      <c r="AE145" s="2">
        <v>0.721</v>
      </c>
      <c r="AF145" s="2">
        <v>0.432</v>
      </c>
      <c r="AG145" s="2">
        <v>1.324</v>
      </c>
      <c r="AI145" s="2">
        <v>1.11</v>
      </c>
      <c r="AK145" s="2">
        <v>1.347</v>
      </c>
      <c r="AL145" s="2">
        <v>3.437</v>
      </c>
      <c r="AN145" s="2">
        <v>1.439</v>
      </c>
      <c r="AO145" s="2">
        <v>2.52</v>
      </c>
      <c r="BQ145" s="2">
        <v>0.953</v>
      </c>
    </row>
    <row r="146" ht="15.75" customHeight="1">
      <c r="A146" s="2" t="s">
        <v>366</v>
      </c>
      <c r="B146" s="2">
        <v>0.353</v>
      </c>
      <c r="C146" s="2">
        <v>0.329</v>
      </c>
      <c r="E146" s="2">
        <v>0.506</v>
      </c>
      <c r="G146" s="2">
        <v>0.251</v>
      </c>
      <c r="H146" s="2">
        <v>0.17</v>
      </c>
      <c r="I146" s="2">
        <v>0.385</v>
      </c>
      <c r="J146" s="2">
        <v>0.582</v>
      </c>
      <c r="K146" s="2">
        <v>0.65</v>
      </c>
      <c r="L146" s="2">
        <v>0.275</v>
      </c>
      <c r="M146" s="2">
        <v>0.662</v>
      </c>
      <c r="Q146" s="2">
        <v>0.678</v>
      </c>
      <c r="S146" s="2">
        <v>0.461</v>
      </c>
      <c r="X146" s="2">
        <v>0.444</v>
      </c>
      <c r="Y146" s="2">
        <v>0.527</v>
      </c>
      <c r="AA146" s="2">
        <v>0.63</v>
      </c>
      <c r="AB146" s="2">
        <v>0.403</v>
      </c>
      <c r="AE146" s="2">
        <v>0.462</v>
      </c>
      <c r="AF146" s="2">
        <v>0.229</v>
      </c>
      <c r="AG146" s="2">
        <v>0.304</v>
      </c>
      <c r="AI146" s="2">
        <v>0.279</v>
      </c>
      <c r="AK146" s="2">
        <v>0.259</v>
      </c>
      <c r="AL146" s="2">
        <v>0.167</v>
      </c>
      <c r="AN146" s="2">
        <v>0.198</v>
      </c>
      <c r="AO146" s="2">
        <v>0.361</v>
      </c>
      <c r="BQ146" s="2">
        <v>0.252</v>
      </c>
    </row>
    <row r="147" ht="15.75" customHeight="1">
      <c r="A147" s="2" t="s">
        <v>368</v>
      </c>
      <c r="B147" s="2">
        <v>44.6</v>
      </c>
      <c r="C147" s="2">
        <v>48.8</v>
      </c>
      <c r="E147" s="2">
        <v>48.0</v>
      </c>
      <c r="G147" s="2">
        <v>34.1</v>
      </c>
      <c r="H147" s="2">
        <v>38.8</v>
      </c>
      <c r="I147" s="2">
        <v>39.8</v>
      </c>
      <c r="J147" s="2">
        <v>23.0</v>
      </c>
      <c r="K147" s="2">
        <v>37.3</v>
      </c>
      <c r="L147" s="2">
        <v>63.5</v>
      </c>
      <c r="M147" s="2">
        <v>22.5</v>
      </c>
      <c r="Q147" s="2">
        <v>56.0</v>
      </c>
      <c r="S147" s="2">
        <v>53.1</v>
      </c>
      <c r="X147" s="2">
        <v>37.6</v>
      </c>
      <c r="Y147" s="2">
        <v>36.1</v>
      </c>
      <c r="AA147" s="2">
        <v>52.6</v>
      </c>
      <c r="AB147" s="2">
        <v>50.7</v>
      </c>
      <c r="AE147" s="2">
        <v>42.8</v>
      </c>
      <c r="AF147" s="2">
        <v>32.8</v>
      </c>
      <c r="AG147" s="2">
        <v>37.1</v>
      </c>
      <c r="AI147" s="2">
        <v>54.8</v>
      </c>
      <c r="AK147" s="2">
        <v>61.1</v>
      </c>
      <c r="AL147" s="2">
        <v>61.9</v>
      </c>
      <c r="AN147" s="2">
        <v>64.5</v>
      </c>
      <c r="AO147" s="2">
        <v>40.8</v>
      </c>
      <c r="BQ147" s="2">
        <v>45.4</v>
      </c>
    </row>
    <row r="148" ht="15.75" customHeight="1">
      <c r="A148" s="2" t="s">
        <v>369</v>
      </c>
      <c r="B148" s="2">
        <v>10.7</v>
      </c>
      <c r="C148" s="2">
        <v>17.7</v>
      </c>
      <c r="E148" s="2">
        <v>8.9</v>
      </c>
      <c r="G148" s="2">
        <v>139.7</v>
      </c>
      <c r="H148" s="2">
        <v>1.8</v>
      </c>
      <c r="I148" s="2">
        <v>10.4</v>
      </c>
      <c r="J148" s="2">
        <v>5.4</v>
      </c>
      <c r="K148" s="2">
        <v>19.4</v>
      </c>
      <c r="L148" s="2">
        <v>15.2</v>
      </c>
      <c r="M148" s="2">
        <v>9.4</v>
      </c>
      <c r="Q148" s="2">
        <v>14.2</v>
      </c>
      <c r="S148" s="2">
        <v>19.1</v>
      </c>
      <c r="X148" s="2">
        <v>20.8</v>
      </c>
      <c r="Y148" s="2">
        <v>17.1</v>
      </c>
      <c r="AA148" s="2">
        <v>17.3</v>
      </c>
      <c r="AB148" s="2">
        <v>18.8</v>
      </c>
      <c r="AE148" s="2">
        <v>21.8</v>
      </c>
      <c r="AF148" s="2">
        <v>8.4</v>
      </c>
      <c r="AG148" s="2">
        <v>27.3</v>
      </c>
      <c r="AI148" s="2">
        <v>7.4</v>
      </c>
      <c r="AK148" s="2">
        <v>23.3</v>
      </c>
      <c r="AL148" s="2">
        <v>29.5</v>
      </c>
      <c r="AN148" s="2">
        <v>20.5</v>
      </c>
      <c r="AO148" s="2">
        <v>16.9</v>
      </c>
      <c r="BQ148" s="2">
        <v>15.0</v>
      </c>
    </row>
    <row r="149" ht="15.75" customHeight="1">
      <c r="A149" s="2" t="s">
        <v>370</v>
      </c>
      <c r="B149" s="2">
        <v>60.3</v>
      </c>
      <c r="C149" s="2">
        <v>64.8</v>
      </c>
      <c r="E149" s="2">
        <v>72.3</v>
      </c>
      <c r="G149" s="2">
        <v>42.7</v>
      </c>
      <c r="H149" s="2">
        <v>45.4</v>
      </c>
      <c r="I149" s="2">
        <v>55.1</v>
      </c>
      <c r="J149" s="2">
        <v>36.5</v>
      </c>
      <c r="K149" s="2">
        <v>61.5</v>
      </c>
      <c r="L149" s="2">
        <v>80.9</v>
      </c>
      <c r="M149" s="2">
        <v>37.4</v>
      </c>
      <c r="Q149" s="2">
        <v>93.9</v>
      </c>
      <c r="S149" s="2">
        <v>77.6</v>
      </c>
      <c r="X149" s="2">
        <v>54.3</v>
      </c>
      <c r="Y149" s="2">
        <v>55.2</v>
      </c>
      <c r="AA149" s="2">
        <v>85.7</v>
      </c>
      <c r="AB149" s="2">
        <v>71.1</v>
      </c>
      <c r="AE149" s="2">
        <v>62.5</v>
      </c>
      <c r="AF149" s="2">
        <v>40.3</v>
      </c>
      <c r="AG149" s="2">
        <v>48.3</v>
      </c>
      <c r="AI149" s="2">
        <v>70.11</v>
      </c>
      <c r="AK149" s="2">
        <v>77.0</v>
      </c>
      <c r="AL149" s="2">
        <v>72.2</v>
      </c>
      <c r="AN149" s="2">
        <v>77.2</v>
      </c>
      <c r="AO149" s="2">
        <v>55.6</v>
      </c>
      <c r="BQ149" s="2">
        <v>56.8</v>
      </c>
    </row>
    <row r="150" ht="15.75" customHeight="1">
      <c r="A150" s="2" t="s">
        <v>371</v>
      </c>
      <c r="B150" s="2">
        <v>86.6</v>
      </c>
      <c r="C150" s="2">
        <v>93.1</v>
      </c>
      <c r="E150" s="2">
        <v>148.0</v>
      </c>
      <c r="G150" s="2">
        <v>111.7</v>
      </c>
      <c r="H150" s="2">
        <v>169.1</v>
      </c>
      <c r="I150" s="2">
        <v>85.5</v>
      </c>
      <c r="J150" s="2">
        <v>92.5</v>
      </c>
      <c r="K150" s="2">
        <v>69.2</v>
      </c>
      <c r="L150" s="2">
        <v>174.5</v>
      </c>
      <c r="M150" s="2">
        <v>79.0</v>
      </c>
      <c r="Q150" s="2">
        <v>48.1</v>
      </c>
      <c r="S150" s="2">
        <v>91.7</v>
      </c>
      <c r="X150" s="2">
        <v>107.2</v>
      </c>
      <c r="Y150" s="2">
        <v>54.4</v>
      </c>
      <c r="AA150" s="2">
        <v>86.8</v>
      </c>
      <c r="AB150" s="2">
        <v>172.6</v>
      </c>
      <c r="AE150" s="2">
        <v>128.3</v>
      </c>
      <c r="AF150" s="2">
        <v>331.3</v>
      </c>
      <c r="AG150" s="2">
        <v>92.1</v>
      </c>
      <c r="AI150" s="2">
        <v>175.0</v>
      </c>
      <c r="AK150" s="2">
        <v>175.1</v>
      </c>
      <c r="AL150" s="2">
        <v>108.0</v>
      </c>
      <c r="AN150" s="2">
        <v>226.5</v>
      </c>
      <c r="AO150" s="2">
        <v>44.8</v>
      </c>
      <c r="BQ150" s="2">
        <v>189.0</v>
      </c>
    </row>
    <row r="151" ht="15.75" customHeight="1">
      <c r="A151" s="2" t="s">
        <v>372</v>
      </c>
      <c r="B151" s="2">
        <v>117.2</v>
      </c>
      <c r="C151" s="2">
        <v>123.7</v>
      </c>
      <c r="E151" s="2">
        <v>222.9</v>
      </c>
      <c r="G151" s="2">
        <v>139.7</v>
      </c>
      <c r="H151" s="2">
        <v>197.9</v>
      </c>
      <c r="I151" s="2">
        <v>118.4</v>
      </c>
      <c r="J151" s="2">
        <v>146.3</v>
      </c>
      <c r="K151" s="2">
        <v>114.2</v>
      </c>
      <c r="L151" s="2">
        <v>222.5</v>
      </c>
      <c r="M151" s="2">
        <v>131.3</v>
      </c>
      <c r="Q151" s="2">
        <v>80.7</v>
      </c>
      <c r="S151" s="2">
        <v>134.0</v>
      </c>
      <c r="X151" s="2">
        <v>154.8</v>
      </c>
      <c r="Y151" s="2">
        <v>83.1</v>
      </c>
      <c r="AA151" s="2">
        <v>141.5</v>
      </c>
      <c r="AB151" s="2">
        <v>242.2</v>
      </c>
      <c r="AE151" s="2">
        <v>187.6</v>
      </c>
      <c r="AF151" s="2">
        <v>407.2</v>
      </c>
      <c r="AG151" s="2">
        <v>12.0</v>
      </c>
      <c r="AI151" s="2">
        <v>224.0</v>
      </c>
      <c r="AK151" s="2">
        <v>220.5</v>
      </c>
      <c r="AL151" s="2">
        <v>126.0</v>
      </c>
      <c r="AN151" s="2">
        <v>271.3</v>
      </c>
      <c r="AO151" s="2">
        <v>61.0</v>
      </c>
      <c r="BQ151" s="2">
        <v>236.6</v>
      </c>
    </row>
    <row r="152" ht="15.75" customHeight="1">
      <c r="A152" s="2" t="s">
        <v>244</v>
      </c>
      <c r="B152" s="2">
        <v>30.6</v>
      </c>
      <c r="C152" s="2">
        <v>30.6</v>
      </c>
      <c r="E152" s="2">
        <v>74.9</v>
      </c>
      <c r="G152" s="2">
        <v>28.0</v>
      </c>
      <c r="H152" s="2">
        <v>28.8</v>
      </c>
      <c r="I152" s="2">
        <v>32.9</v>
      </c>
      <c r="J152" s="2">
        <v>53.8</v>
      </c>
      <c r="K152" s="2">
        <v>45.0</v>
      </c>
      <c r="L152" s="2">
        <v>48.0</v>
      </c>
      <c r="M152" s="2">
        <v>52.3</v>
      </c>
      <c r="Q152" s="2">
        <v>32.6</v>
      </c>
      <c r="S152" s="2">
        <v>42.3</v>
      </c>
      <c r="X152" s="2">
        <v>47.6</v>
      </c>
      <c r="Y152" s="2">
        <v>28.7</v>
      </c>
      <c r="AA152" s="2">
        <v>54.7</v>
      </c>
      <c r="AB152" s="2">
        <v>69.6</v>
      </c>
      <c r="AE152" s="2">
        <v>59.3</v>
      </c>
      <c r="AF152" s="2">
        <v>75.9</v>
      </c>
      <c r="AG152" s="2">
        <v>28.0</v>
      </c>
      <c r="AI152" s="2">
        <v>49.0</v>
      </c>
      <c r="AK152" s="2">
        <v>45.4</v>
      </c>
      <c r="AL152" s="2">
        <v>18.0</v>
      </c>
      <c r="AN152" s="2">
        <v>44.8</v>
      </c>
      <c r="AO152" s="2">
        <v>16.2</v>
      </c>
      <c r="BQ152" s="2">
        <v>47.6</v>
      </c>
    </row>
    <row r="153" ht="15.75" customHeight="1">
      <c r="A153" s="2" t="s">
        <v>373</v>
      </c>
      <c r="B153" s="2">
        <v>393.0</v>
      </c>
      <c r="C153" s="2">
        <v>374.2</v>
      </c>
      <c r="E153" s="2">
        <v>503.1</v>
      </c>
      <c r="G153" s="2">
        <v>318.7</v>
      </c>
      <c r="H153" s="2">
        <v>643.9</v>
      </c>
      <c r="I153" s="2">
        <v>313.6</v>
      </c>
      <c r="J153" s="2">
        <v>240.4</v>
      </c>
      <c r="K153" s="2">
        <v>373.5</v>
      </c>
      <c r="L153" s="2">
        <v>513.0</v>
      </c>
      <c r="M153" s="2">
        <v>229.3</v>
      </c>
      <c r="Q153" s="2">
        <v>620.6</v>
      </c>
      <c r="S153" s="2">
        <v>486.2</v>
      </c>
      <c r="X153" s="2">
        <v>309.0</v>
      </c>
      <c r="Y153" s="2">
        <v>437.9</v>
      </c>
      <c r="AA153" s="2">
        <v>579.7</v>
      </c>
      <c r="AB153" s="2">
        <v>436.6</v>
      </c>
      <c r="AE153" s="2">
        <v>253.5</v>
      </c>
      <c r="AF153" s="2">
        <v>262.9</v>
      </c>
      <c r="AG153" s="2">
        <v>165.2</v>
      </c>
      <c r="AI153" s="2">
        <v>450.0</v>
      </c>
      <c r="AK153" s="2">
        <v>366.7</v>
      </c>
      <c r="AL153" s="2">
        <v>369.7</v>
      </c>
      <c r="AN153" s="2">
        <v>502.4</v>
      </c>
      <c r="AO153" s="2">
        <v>246.2</v>
      </c>
      <c r="BQ153" s="2">
        <v>308.1</v>
      </c>
    </row>
    <row r="154" ht="15.75" customHeight="1">
      <c r="A154" s="2" t="s">
        <v>374</v>
      </c>
      <c r="B154" s="2">
        <v>-429.7</v>
      </c>
      <c r="C154" s="2">
        <v>-401.7</v>
      </c>
      <c r="E154" s="2">
        <v>-526.0</v>
      </c>
      <c r="G154" s="2">
        <v>-294.8</v>
      </c>
      <c r="H154" s="2">
        <v>-770.4</v>
      </c>
      <c r="I154" s="2">
        <v>-392.3</v>
      </c>
      <c r="J154" s="2">
        <v>-226.8</v>
      </c>
      <c r="K154" s="2">
        <v>-486.5</v>
      </c>
      <c r="L154" s="2">
        <v>-450.1</v>
      </c>
      <c r="M154" s="2">
        <v>-179.5</v>
      </c>
      <c r="Q154" s="2">
        <v>-632.1</v>
      </c>
      <c r="S154" s="2">
        <v>-591.7</v>
      </c>
      <c r="X154" s="2">
        <v>-405.2</v>
      </c>
      <c r="Y154" s="2">
        <v>-368.9</v>
      </c>
      <c r="AA154" s="2">
        <v>-632.3</v>
      </c>
      <c r="AB154" s="2">
        <v>-437.4</v>
      </c>
      <c r="AE154" s="2">
        <v>-461.9</v>
      </c>
      <c r="AF154" s="2">
        <v>-293.3</v>
      </c>
      <c r="AG154" s="2">
        <v>-346.9</v>
      </c>
      <c r="AI154" s="2">
        <v>-578.0</v>
      </c>
      <c r="AK154" s="2">
        <v>-483.8</v>
      </c>
      <c r="AL154" s="2">
        <v>-435.0</v>
      </c>
      <c r="AN154" s="2">
        <v>-430.9</v>
      </c>
      <c r="AO154" s="2">
        <v>-361.5</v>
      </c>
      <c r="BQ154" s="2">
        <v>-347.6</v>
      </c>
    </row>
    <row r="155" ht="15.75" customHeight="1"/>
    <row r="156" ht="15.75" customHeight="1">
      <c r="A156" s="20" t="s">
        <v>375</v>
      </c>
      <c r="B156" s="2" t="s">
        <v>376</v>
      </c>
      <c r="C156" s="2" t="s">
        <v>377</v>
      </c>
      <c r="E156" s="2" t="s">
        <v>378</v>
      </c>
      <c r="G156" s="2" t="s">
        <v>379</v>
      </c>
      <c r="H156" s="2" t="s">
        <v>380</v>
      </c>
      <c r="I156" s="2" t="s">
        <v>381</v>
      </c>
      <c r="J156" s="2" t="s">
        <v>382</v>
      </c>
      <c r="K156" s="2" t="s">
        <v>383</v>
      </c>
      <c r="L156" s="2" t="s">
        <v>384</v>
      </c>
      <c r="M156" s="2" t="s">
        <v>385</v>
      </c>
      <c r="N156" s="2" t="s">
        <v>386</v>
      </c>
      <c r="Q156" s="2" t="s">
        <v>387</v>
      </c>
      <c r="R156" s="2" t="s">
        <v>388</v>
      </c>
      <c r="S156" s="2" t="s">
        <v>389</v>
      </c>
      <c r="U156" s="2" t="s">
        <v>390</v>
      </c>
      <c r="X156" s="2" t="s">
        <v>391</v>
      </c>
      <c r="Y156" s="2" t="s">
        <v>392</v>
      </c>
      <c r="Z156" s="21"/>
      <c r="AA156" s="2" t="s">
        <v>393</v>
      </c>
      <c r="AB156" s="2" t="s">
        <v>394</v>
      </c>
      <c r="AE156" s="2" t="s">
        <v>395</v>
      </c>
      <c r="AF156" s="2" t="s">
        <v>396</v>
      </c>
      <c r="AG156" s="2" t="s">
        <v>397</v>
      </c>
      <c r="AI156" s="2" t="s">
        <v>398</v>
      </c>
      <c r="AK156" s="2" t="s">
        <v>399</v>
      </c>
      <c r="AL156" s="2" t="s">
        <v>400</v>
      </c>
      <c r="AN156" s="2" t="s">
        <v>401</v>
      </c>
      <c r="AO156" s="2" t="s">
        <v>402</v>
      </c>
      <c r="BQ156" s="2" t="s">
        <v>416</v>
      </c>
    </row>
    <row r="157" ht="15.75" customHeight="1"/>
    <row r="158" ht="15.75" customHeight="1"/>
    <row r="159" ht="15.75" customHeight="1">
      <c r="A159" s="2" t="s">
        <v>567</v>
      </c>
      <c r="B159" s="2">
        <f t="shared" ref="B159:B161" si="17">AVERAGE(B144:AO144)</f>
        <v>0.446375</v>
      </c>
    </row>
    <row r="160" ht="15.75" customHeight="1">
      <c r="A160" s="2" t="s">
        <v>568</v>
      </c>
      <c r="B160" s="2">
        <f t="shared" si="17"/>
        <v>1.229791667</v>
      </c>
    </row>
    <row r="161" ht="15.75" customHeight="1">
      <c r="A161" s="2" t="s">
        <v>569</v>
      </c>
      <c r="B161" s="2">
        <f t="shared" si="17"/>
        <v>0.3985416667</v>
      </c>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6" width="8.71"/>
  </cols>
  <sheetData>
    <row r="1">
      <c r="A1" s="18" t="s">
        <v>347</v>
      </c>
    </row>
    <row r="2">
      <c r="A2" s="19" t="s">
        <v>362</v>
      </c>
      <c r="B2" s="2">
        <v>0.651</v>
      </c>
      <c r="C2" s="2">
        <v>0.524</v>
      </c>
      <c r="E2" s="2">
        <v>0.324</v>
      </c>
      <c r="G2" s="2">
        <v>0.305</v>
      </c>
      <c r="H2" s="2">
        <v>0.07</v>
      </c>
      <c r="I2" s="2">
        <v>0.465</v>
      </c>
      <c r="J2" s="2">
        <v>0.249</v>
      </c>
      <c r="K2" s="2">
        <v>0.538</v>
      </c>
    </row>
    <row r="3">
      <c r="A3" s="2" t="s">
        <v>364</v>
      </c>
      <c r="B3" s="2">
        <v>0.8</v>
      </c>
      <c r="C3" s="2">
        <v>1.593</v>
      </c>
      <c r="E3" s="2">
        <v>0.64</v>
      </c>
      <c r="G3" s="2">
        <v>1.219</v>
      </c>
      <c r="H3" s="2">
        <v>1.3</v>
      </c>
      <c r="I3" s="2">
        <v>1.21</v>
      </c>
      <c r="J3" s="2">
        <v>0.428</v>
      </c>
      <c r="K3" s="2">
        <v>0.828</v>
      </c>
    </row>
    <row r="4">
      <c r="A4" s="2" t="s">
        <v>366</v>
      </c>
      <c r="B4" s="2">
        <v>0.814</v>
      </c>
      <c r="C4" s="2">
        <v>0.329</v>
      </c>
      <c r="E4" s="2">
        <v>0.506</v>
      </c>
      <c r="G4" s="2">
        <v>0.251</v>
      </c>
      <c r="H4" s="2">
        <v>0.053</v>
      </c>
      <c r="I4" s="2">
        <v>0.385</v>
      </c>
      <c r="J4" s="2">
        <v>0.582</v>
      </c>
      <c r="K4" s="2">
        <v>0.65</v>
      </c>
    </row>
    <row r="5">
      <c r="A5" s="2" t="s">
        <v>368</v>
      </c>
      <c r="B5" s="2">
        <v>46.0</v>
      </c>
      <c r="C5" s="2">
        <v>48.8</v>
      </c>
      <c r="E5" s="2">
        <v>48.0</v>
      </c>
      <c r="G5" s="2">
        <v>34.1</v>
      </c>
      <c r="H5" s="2">
        <v>37.8</v>
      </c>
      <c r="I5" s="2">
        <v>39.8</v>
      </c>
      <c r="J5" s="2">
        <v>23.0</v>
      </c>
      <c r="K5" s="2">
        <v>37.3</v>
      </c>
    </row>
    <row r="6">
      <c r="A6" s="2" t="s">
        <v>369</v>
      </c>
      <c r="B6" s="2">
        <v>17.4</v>
      </c>
      <c r="C6" s="2">
        <v>17.7</v>
      </c>
      <c r="E6" s="2">
        <v>8.9</v>
      </c>
      <c r="G6" s="2">
        <v>139.7</v>
      </c>
      <c r="H6" s="2">
        <v>7.2</v>
      </c>
      <c r="I6" s="2">
        <v>10.4</v>
      </c>
      <c r="J6" s="2">
        <v>5.4</v>
      </c>
      <c r="K6" s="2">
        <v>19.4</v>
      </c>
    </row>
    <row r="7">
      <c r="A7" s="2" t="s">
        <v>370</v>
      </c>
      <c r="B7" s="2">
        <v>83.4</v>
      </c>
      <c r="C7" s="2">
        <v>64.8</v>
      </c>
      <c r="E7" s="2">
        <v>72.3</v>
      </c>
      <c r="G7" s="2">
        <v>42.7</v>
      </c>
      <c r="H7" s="2">
        <v>39.8</v>
      </c>
      <c r="I7" s="2">
        <v>55.1</v>
      </c>
      <c r="J7" s="2">
        <v>36.5</v>
      </c>
      <c r="K7" s="2">
        <v>61.5</v>
      </c>
    </row>
    <row r="8">
      <c r="A8" s="2" t="s">
        <v>371</v>
      </c>
      <c r="B8" s="2">
        <v>70.7</v>
      </c>
      <c r="C8" s="2">
        <v>93.1</v>
      </c>
      <c r="E8" s="2">
        <v>148.0</v>
      </c>
      <c r="G8" s="2">
        <v>111.7</v>
      </c>
      <c r="H8" s="2">
        <v>543.7</v>
      </c>
      <c r="I8" s="2">
        <v>85.5</v>
      </c>
      <c r="J8" s="2">
        <v>92.5</v>
      </c>
      <c r="K8" s="2">
        <v>69.2</v>
      </c>
    </row>
    <row r="9">
      <c r="A9" s="2" t="s">
        <v>372</v>
      </c>
      <c r="B9" s="2">
        <v>128.2</v>
      </c>
      <c r="C9" s="2">
        <v>123.7</v>
      </c>
      <c r="E9" s="2">
        <v>222.9</v>
      </c>
      <c r="G9" s="2">
        <v>139.7</v>
      </c>
      <c r="H9" s="2">
        <v>572.7</v>
      </c>
      <c r="I9" s="2">
        <v>118.4</v>
      </c>
      <c r="J9" s="2">
        <v>146.3</v>
      </c>
      <c r="K9" s="2">
        <v>114.2</v>
      </c>
    </row>
    <row r="10">
      <c r="A10" s="2" t="s">
        <v>244</v>
      </c>
      <c r="B10" s="2">
        <v>57.5</v>
      </c>
      <c r="C10" s="2">
        <v>30.6</v>
      </c>
      <c r="E10" s="2">
        <v>74.9</v>
      </c>
      <c r="G10" s="2">
        <v>28.0</v>
      </c>
      <c r="H10" s="2">
        <v>29.0</v>
      </c>
      <c r="I10" s="2">
        <v>32.9</v>
      </c>
      <c r="J10" s="2">
        <v>53.8</v>
      </c>
      <c r="K10" s="2">
        <v>45.0</v>
      </c>
    </row>
    <row r="11">
      <c r="A11" s="2" t="s">
        <v>373</v>
      </c>
      <c r="B11" s="2">
        <v>480.4</v>
      </c>
      <c r="C11" s="2">
        <v>374.2</v>
      </c>
      <c r="E11" s="2">
        <v>503.1</v>
      </c>
      <c r="G11" s="2">
        <v>318.7</v>
      </c>
      <c r="H11" s="2">
        <v>643.6</v>
      </c>
      <c r="I11" s="2">
        <v>313.6</v>
      </c>
      <c r="J11" s="2">
        <v>240.4</v>
      </c>
      <c r="K11" s="2">
        <v>373.5</v>
      </c>
    </row>
    <row r="12">
      <c r="A12" s="2" t="s">
        <v>374</v>
      </c>
      <c r="B12" s="2">
        <v>-534.8</v>
      </c>
      <c r="C12" s="2">
        <v>-401.7</v>
      </c>
      <c r="E12" s="2">
        <v>-526.0</v>
      </c>
      <c r="G12" s="2">
        <v>-294.8</v>
      </c>
      <c r="H12" s="2">
        <v>-464.5</v>
      </c>
      <c r="I12" s="2">
        <v>-392.3</v>
      </c>
      <c r="J12" s="2">
        <v>-226.8</v>
      </c>
      <c r="K12" s="2">
        <v>-486.5</v>
      </c>
    </row>
    <row r="14">
      <c r="A14" s="20" t="s">
        <v>375</v>
      </c>
      <c r="B14" s="2" t="s">
        <v>376</v>
      </c>
      <c r="C14" s="2" t="s">
        <v>377</v>
      </c>
      <c r="E14" s="2" t="s">
        <v>378</v>
      </c>
      <c r="G14" s="2" t="s">
        <v>379</v>
      </c>
      <c r="H14" s="2" t="s">
        <v>380</v>
      </c>
      <c r="I14" s="2" t="s">
        <v>381</v>
      </c>
      <c r="J14" s="2" t="s">
        <v>382</v>
      </c>
      <c r="K14" s="2" t="s">
        <v>383</v>
      </c>
    </row>
    <row r="17">
      <c r="A17" s="19" t="s">
        <v>362</v>
      </c>
      <c r="B17" s="2">
        <v>1.019</v>
      </c>
      <c r="C17" s="2">
        <v>1.1</v>
      </c>
    </row>
    <row r="18">
      <c r="A18" s="2" t="s">
        <v>364</v>
      </c>
      <c r="B18" s="2">
        <v>1.1</v>
      </c>
      <c r="C18" s="2">
        <v>1.13</v>
      </c>
    </row>
    <row r="19">
      <c r="A19" s="2" t="s">
        <v>366</v>
      </c>
      <c r="B19" s="2">
        <v>0.9</v>
      </c>
      <c r="C19" s="2">
        <v>0.96</v>
      </c>
    </row>
    <row r="20">
      <c r="A20" s="2" t="s">
        <v>368</v>
      </c>
      <c r="B20" s="2">
        <v>43.9</v>
      </c>
      <c r="C20" s="2">
        <v>36.0</v>
      </c>
    </row>
    <row r="21" ht="15.75" customHeight="1">
      <c r="A21" s="2" t="s">
        <v>369</v>
      </c>
      <c r="B21" s="2">
        <v>11.3</v>
      </c>
      <c r="C21" s="2">
        <v>17.0</v>
      </c>
    </row>
    <row r="22" ht="15.75" customHeight="1">
      <c r="A22" s="2" t="s">
        <v>370</v>
      </c>
      <c r="B22" s="2">
        <v>84.0</v>
      </c>
      <c r="C22" s="2">
        <v>71.0</v>
      </c>
    </row>
    <row r="23" ht="15.75" customHeight="1">
      <c r="A23" s="2" t="s">
        <v>371</v>
      </c>
      <c r="B23" s="2">
        <v>43.0</v>
      </c>
      <c r="C23" s="2">
        <v>63.0</v>
      </c>
    </row>
    <row r="24" ht="15.75" customHeight="1">
      <c r="A24" s="2" t="s">
        <v>372</v>
      </c>
      <c r="B24" s="2">
        <v>82.0</v>
      </c>
      <c r="C24" s="2">
        <v>54.0</v>
      </c>
    </row>
    <row r="25" ht="15.75" customHeight="1">
      <c r="A25" s="2" t="s">
        <v>244</v>
      </c>
      <c r="B25" s="2">
        <v>39.0</v>
      </c>
    </row>
    <row r="26" ht="15.75" customHeight="1">
      <c r="A26" s="2" t="s">
        <v>373</v>
      </c>
      <c r="B26" s="2">
        <v>610.0</v>
      </c>
    </row>
    <row r="27" ht="15.75" customHeight="1">
      <c r="A27" s="2" t="s">
        <v>374</v>
      </c>
      <c r="B27" s="2">
        <v>-699.0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27.57"/>
    <col customWidth="1" min="3" max="3" width="33.57"/>
    <col customWidth="1" min="4" max="4" width="32.29"/>
    <col customWidth="1" min="5" max="5" width="48.71"/>
    <col customWidth="1" min="6" max="26" width="8.71"/>
  </cols>
  <sheetData>
    <row r="1">
      <c r="A1" s="2" t="s">
        <v>570</v>
      </c>
      <c r="B1" s="2" t="s">
        <v>571</v>
      </c>
      <c r="C1" s="2" t="s">
        <v>572</v>
      </c>
      <c r="D1" s="2" t="s">
        <v>573</v>
      </c>
      <c r="E1" s="2" t="s">
        <v>574</v>
      </c>
    </row>
    <row r="2">
      <c r="A2" s="11" t="s">
        <v>230</v>
      </c>
    </row>
    <row r="3">
      <c r="A3" s="11" t="s">
        <v>231</v>
      </c>
    </row>
    <row r="4">
      <c r="A4" s="11" t="s">
        <v>233</v>
      </c>
    </row>
    <row r="5">
      <c r="A5" s="11" t="s">
        <v>234</v>
      </c>
    </row>
    <row r="6">
      <c r="A6" s="11" t="s">
        <v>235</v>
      </c>
    </row>
    <row r="7">
      <c r="A7" s="3" t="s">
        <v>236</v>
      </c>
    </row>
    <row r="8">
      <c r="A8" s="11" t="s">
        <v>237</v>
      </c>
    </row>
    <row r="9">
      <c r="A9" s="3" t="s">
        <v>238</v>
      </c>
    </row>
    <row r="10">
      <c r="A10" s="11" t="s">
        <v>239</v>
      </c>
    </row>
    <row r="11">
      <c r="A11" s="11" t="s">
        <v>240</v>
      </c>
    </row>
    <row r="12">
      <c r="A12" s="3" t="s">
        <v>241</v>
      </c>
    </row>
    <row r="13">
      <c r="A13" s="11" t="s">
        <v>242</v>
      </c>
    </row>
    <row r="14">
      <c r="A14" s="11" t="s">
        <v>243</v>
      </c>
    </row>
    <row r="15">
      <c r="A15" s="3" t="s">
        <v>244</v>
      </c>
    </row>
    <row r="16">
      <c r="A16" s="11" t="s">
        <v>245</v>
      </c>
    </row>
    <row r="17">
      <c r="A17" s="11" t="s">
        <v>246</v>
      </c>
    </row>
    <row r="18">
      <c r="A18" s="2" t="s">
        <v>247</v>
      </c>
    </row>
    <row r="19">
      <c r="A19" s="2" t="s">
        <v>248</v>
      </c>
    </row>
    <row r="20">
      <c r="A20" s="3" t="s">
        <v>249</v>
      </c>
    </row>
    <row r="21" ht="15.75" customHeight="1"/>
    <row r="22" ht="15.75" customHeight="1">
      <c r="A22" s="11"/>
    </row>
    <row r="23" ht="15.75" customHeight="1">
      <c r="A23" s="11" t="s">
        <v>282</v>
      </c>
    </row>
    <row r="24" ht="15.75" customHeight="1">
      <c r="A24" s="11" t="s">
        <v>284</v>
      </c>
    </row>
    <row r="25" ht="15.75" customHeight="1">
      <c r="A25" s="11" t="s">
        <v>285</v>
      </c>
    </row>
    <row r="26" ht="15.75" customHeight="1">
      <c r="A26" s="11" t="s">
        <v>286</v>
      </c>
    </row>
    <row r="27" ht="15.75" customHeight="1">
      <c r="A27" s="11" t="s">
        <v>288</v>
      </c>
      <c r="B27" s="32"/>
    </row>
    <row r="28" ht="15.75" customHeight="1">
      <c r="A28" s="11" t="s">
        <v>234</v>
      </c>
    </row>
    <row r="29" ht="15.75" customHeight="1">
      <c r="A29" s="11" t="s">
        <v>289</v>
      </c>
    </row>
    <row r="30" ht="15.75" customHeight="1">
      <c r="A30" s="11" t="s">
        <v>290</v>
      </c>
    </row>
    <row r="31" ht="15.75" customHeight="1">
      <c r="A31" s="15" t="s">
        <v>291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2025-09-18T14:38:46Z</dcterms:created>
  <dc:creator>Milan Kaushik</dc:creator>
</cp:coreProperties>
</file>